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283B3B23-46CA-4E60-9BFF-70F68EA8E59F}" xr6:coauthVersionLast="47" xr6:coauthVersionMax="47" xr10:uidLastSave="{00000000-0000-0000-0000-000000000000}"/>
  <bookViews>
    <workbookView xWindow="-110" yWindow="-110" windowWidth="19420" windowHeight="10300" firstSheet="3" activeTab="10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  <sheet name="LOOKUP_FUNCTION" sheetId="10" r:id="rId9"/>
    <sheet name="HLOOKUP" sheetId="11" r:id="rId10"/>
    <sheet name="DataValidation" sheetId="12" r:id="rId11"/>
  </sheets>
  <definedNames>
    <definedName name="_xlnm._FilterDatabase" localSheetId="6" hidden="1">Sheet4!$A$18:$A$24</definedName>
    <definedName name="Orders">Dmart_Sales_Data[Order_Id]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2" roundtripDataChecksum="gT5L9Uh5Mkce+NjaHPxVAbIJlDW9RbqkjfO6mNdsl18="/>
    </ext>
  </extLst>
</workbook>
</file>

<file path=xl/calcChain.xml><?xml version="1.0" encoding="utf-8"?>
<calcChain xmlns="http://schemas.openxmlformats.org/spreadsheetml/2006/main">
  <c r="S45" i="1" l="1"/>
  <c r="J6" i="11" a="1"/>
  <c r="J6" i="11" s="1"/>
  <c r="C12" i="11"/>
  <c r="C11" i="11"/>
  <c r="C10" i="11"/>
  <c r="H10" i="11"/>
  <c r="M4" i="5"/>
  <c r="G4" i="5"/>
  <c r="D32" i="5"/>
  <c r="G24" i="5"/>
  <c r="C14" i="10"/>
  <c r="D10" i="10"/>
  <c r="C10" i="10"/>
  <c r="H12" i="11"/>
  <c r="H13" i="11"/>
  <c r="H11" i="11"/>
  <c r="B15" i="11"/>
  <c r="D14" i="10"/>
  <c r="F13" i="10"/>
  <c r="F11" i="10"/>
  <c r="F9" i="10"/>
  <c r="D2" i="10"/>
  <c r="E2" i="10"/>
  <c r="D6" i="10"/>
  <c r="E6" i="10" s="1"/>
  <c r="D5" i="10"/>
  <c r="E5" i="10" s="1"/>
  <c r="D4" i="10"/>
  <c r="E4" i="10" s="1"/>
  <c r="D3" i="10"/>
  <c r="E3" i="10" s="1"/>
  <c r="B503" i="1"/>
  <c r="B504" i="1"/>
  <c r="S42" i="1"/>
  <c r="S41" i="1"/>
  <c r="C20" i="9"/>
  <c r="C19" i="9"/>
  <c r="S39" i="1"/>
  <c r="S38" i="1"/>
  <c r="S33" i="1"/>
  <c r="S34" i="1"/>
  <c r="S35" i="1"/>
  <c r="S36" i="1"/>
  <c r="S31" i="1"/>
  <c r="S30" i="1"/>
  <c r="S29" i="1"/>
  <c r="S28" i="1"/>
  <c r="S26" i="1"/>
  <c r="S22" i="1"/>
  <c r="S21" i="1"/>
  <c r="S24" i="1"/>
  <c r="S23" i="1"/>
  <c r="S20" i="1"/>
  <c r="S17" i="1"/>
  <c r="S16" i="1"/>
  <c r="S15" i="1"/>
  <c r="S14" i="1"/>
  <c r="S11" i="1"/>
  <c r="S9" i="1"/>
  <c r="F4" i="9"/>
  <c r="F2" i="9"/>
  <c r="S7" i="1"/>
  <c r="S5" i="1"/>
  <c r="S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5" i="5"/>
  <c r="G4" i="6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<sst xmlns="http://schemas.openxmlformats.org/spreadsheetml/2006/main" count="4272" uniqueCount="697">
  <si>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</si>
  <si>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</si>
  <si>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</si>
  <si>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</si>
  <si>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</si>
  <si>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</si>
  <si>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</si>
  <si>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</si>
  <si>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</si>
  <si>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</si>
  <si>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</si>
  <si>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</si>
  <si>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</si>
  <si>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</si>
  <si>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</si>
  <si>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</si>
  <si>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</si>
  <si>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</si>
  <si>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</si>
  <si>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</si>
  <si>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</si>
  <si>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</si>
  <si>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</si>
  <si>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</si>
  <si>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</si>
  <si>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</si>
  <si>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</si>
  <si>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</si>
  <si>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</si>
  <si>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</si>
  <si>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</si>
  <si>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</si>
  <si>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</si>
  <si>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</si>
  <si>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</si>
  <si>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</si>
  <si>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</si>
  <si>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</si>
  <si>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</si>
  <si>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</si>
  <si>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</si>
  <si>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</si>
  <si>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</si>
  <si>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</si>
  <si>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</si>
  <si>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</si>
  <si>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</si>
  <si>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</si>
  <si>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</si>
  <si>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</si>
  <si>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</si>
  <si>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</si>
  <si>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</si>
  <si>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</si>
  <si>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</si>
  <si>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</si>
  <si>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</si>
  <si>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</si>
  <si>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</si>
  <si>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</si>
  <si>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</si>
  <si>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</si>
  <si>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</si>
  <si>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</si>
  <si>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</si>
  <si>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</si>
  <si>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</si>
  <si>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</si>
  <si>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</si>
  <si>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</si>
  <si>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</si>
  <si>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</si>
  <si>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</si>
  <si>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</si>
  <si>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</si>
  <si>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</si>
  <si>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</si>
  <si>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</si>
  <si>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</si>
  <si>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</si>
  <si>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</si>
  <si>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</si>
  <si>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</si>
  <si>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</si>
  <si>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</si>
  <si>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</si>
  <si>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</si>
  <si>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</si>
  <si>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</si>
  <si>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</si>
  <si>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</si>
  <si>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</si>
  <si>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</si>
  <si>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</si>
  <si>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</si>
  <si>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</si>
  <si>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</si>
  <si>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</si>
  <si>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</si>
  <si>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</si>
  <si>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</si>
  <si>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</si>
  <si>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</si>
  <si>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</si>
  <si>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</si>
  <si>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</si>
  <si>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</si>
  <si>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</si>
  <si>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</si>
  <si>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</si>
  <si>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</si>
  <si>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</si>
  <si>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</si>
  <si>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</si>
  <si>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</si>
  <si>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</si>
  <si>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</si>
  <si>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</si>
  <si>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</si>
  <si>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</si>
  <si>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</si>
  <si>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</si>
  <si>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</si>
  <si>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</si>
  <si>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</si>
  <si>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</si>
  <si>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</si>
  <si>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</si>
  <si>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</si>
  <si>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</si>
  <si>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</si>
  <si>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</si>
  <si>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</si>
  <si>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</si>
  <si>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</si>
  <si>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</si>
  <si>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</si>
  <si>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</si>
  <si>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</si>
  <si>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</si>
  <si>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</si>
  <si>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</si>
  <si>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</si>
  <si>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</si>
  <si>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</si>
  <si>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</si>
  <si>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</si>
  <si>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</si>
  <si>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</si>
  <si>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</si>
  <si>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</si>
  <si>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</si>
  <si>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</si>
  <si>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</si>
  <si>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</si>
  <si>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</si>
  <si>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</si>
  <si>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</si>
  <si>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</si>
  <si>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</si>
  <si>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</si>
  <si>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</si>
  <si>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</si>
  <si>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</si>
  <si>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</si>
  <si>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</si>
  <si>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</si>
  <si>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</si>
  <si>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</si>
  <si>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</si>
  <si>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</si>
  <si>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</si>
  <si>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</si>
  <si>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</si>
  <si>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</si>
  <si>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</si>
  <si>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</si>
  <si>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</si>
  <si>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</si>
  <si>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</si>
  <si>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</si>
  <si>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</si>
  <si>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</si>
  <si>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</si>
  <si>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</si>
  <si>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</si>
  <si>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</si>
  <si>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</si>
  <si>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</si>
  <si>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</si>
  <si>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</si>
  <si>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</si>
  <si>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</si>
  <si>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</si>
  <si>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</si>
  <si>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</si>
  <si>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</si>
  <si>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</si>
  <si>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</si>
  <si>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</si>
  <si>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</si>
  <si>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</si>
  <si>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</si>
  <si>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</si>
  <si>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</si>
  <si>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</si>
  <si>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</si>
  <si>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</si>
  <si>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</si>
  <si>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</si>
  <si>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</si>
  <si>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</si>
  <si>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</si>
  <si>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</si>
  <si>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</si>
  <si>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</si>
  <si>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</si>
  <si>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</si>
  <si>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</si>
  <si>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</si>
  <si>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</si>
  <si>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</si>
  <si>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</si>
  <si>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</si>
  <si>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</si>
  <si>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</si>
  <si>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</si>
  <si>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</si>
  <si>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</si>
  <si>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</si>
  <si>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</si>
  <si>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</si>
  <si>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</si>
  <si>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</si>
  <si>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</si>
  <si>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</si>
  <si>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</si>
  <si>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</si>
  <si>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</si>
  <si>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</si>
  <si>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</si>
  <si>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</si>
  <si>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</si>
  <si>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</si>
  <si>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</si>
  <si>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</si>
  <si>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</si>
  <si>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</si>
  <si>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</si>
  <si>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</si>
  <si>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</si>
  <si>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</si>
  <si>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</si>
  <si>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</si>
  <si>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</si>
  <si>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</si>
  <si>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</si>
  <si>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</si>
  <si>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</si>
  <si>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</si>
  <si>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</si>
  <si>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</si>
  <si>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</si>
  <si>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</si>
  <si>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</si>
  <si>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</si>
  <si>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</si>
  <si>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</si>
  <si>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</si>
  <si>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</si>
  <si>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</si>
  <si>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</si>
  <si>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</si>
  <si>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</si>
  <si>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</si>
  <si>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</si>
  <si>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</si>
  <si>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</si>
  <si>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</si>
  <si>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</si>
  <si>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</si>
  <si>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</si>
  <si>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</si>
  <si>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</si>
  <si>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</si>
  <si>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</si>
  <si>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</si>
  <si>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</si>
  <si>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</si>
  <si>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</si>
  <si>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</si>
  <si>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</si>
  <si>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</si>
  <si>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</si>
  <si>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</si>
  <si>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</si>
  <si>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</si>
  <si>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</si>
  <si>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</si>
  <si>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</si>
  <si>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</si>
  <si>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</si>
  <si>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</si>
  <si>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</si>
  <si>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</si>
  <si>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</si>
  <si>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</si>
  <si>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</si>
  <si>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</si>
  <si>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</si>
  <si>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</si>
  <si>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</si>
  <si>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</si>
  <si>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</si>
  <si>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</si>
  <si>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</si>
  <si>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</si>
  <si>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</si>
  <si>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</si>
  <si>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</si>
  <si>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</si>
  <si>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</si>
  <si>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</si>
  <si>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</si>
  <si>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</si>
  <si>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</si>
  <si>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</si>
  <si>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</si>
  <si>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</si>
  <si>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</si>
  <si>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</si>
  <si>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</si>
  <si>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</si>
  <si>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</si>
  <si>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</si>
  <si>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</si>
  <si>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</si>
  <si>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</si>
  <si>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</si>
  <si>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</si>
  <si>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</si>
  <si>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</si>
  <si>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</si>
  <si>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</si>
  <si>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</si>
  <si>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</si>
  <si>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</si>
  <si>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</si>
  <si>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</si>
  <si>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</si>
  <si>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</si>
  <si>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</si>
  <si>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</si>
  <si>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</si>
  <si>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</si>
  <si>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</si>
  <si>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</si>
  <si>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</si>
  <si>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</si>
  <si>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</si>
  <si>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</si>
  <si>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</si>
  <si>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</si>
  <si>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</si>
  <si>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</si>
  <si>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</si>
  <si>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</si>
  <si>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</si>
  <si>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</si>
  <si>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</si>
  <si>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</si>
  <si>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</si>
  <si>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</si>
  <si>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</si>
  <si>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</si>
  <si>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</si>
  <si>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</si>
  <si>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</si>
  <si>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</si>
  <si>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</si>
  <si>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</si>
  <si>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</si>
  <si>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</si>
  <si>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</si>
  <si>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</si>
  <si>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</si>
  <si>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</si>
  <si>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</si>
  <si>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</si>
  <si>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</si>
  <si>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</si>
  <si>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</si>
  <si>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</si>
  <si>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</si>
  <si>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</si>
  <si>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</si>
  <si>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</si>
  <si>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</si>
  <si>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</si>
  <si>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</si>
  <si>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</si>
  <si>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</si>
  <si>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</si>
  <si>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</si>
  <si>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</si>
  <si>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</si>
  <si>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</si>
  <si>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</si>
  <si>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</si>
  <si>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</si>
  <si>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</si>
  <si>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</si>
  <si>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</si>
  <si>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</si>
  <si>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</si>
  <si>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</si>
  <si>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</si>
  <si>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</si>
  <si>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</si>
  <si>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</si>
  <si>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</si>
  <si>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</si>
  <si>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</si>
  <si>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</si>
  <si>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</si>
  <si>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</si>
  <si>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</si>
  <si>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</si>
  <si>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</si>
  <si>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</si>
  <si>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</si>
  <si>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</si>
  <si>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</si>
  <si>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</si>
  <si>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</si>
  <si>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</si>
  <si>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</si>
  <si>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</si>
  <si>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</si>
  <si>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</si>
  <si>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</si>
  <si>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</si>
  <si>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</si>
  <si>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</si>
  <si>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</si>
  <si>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</si>
  <si>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</si>
  <si>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</si>
  <si>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</si>
  <si>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</si>
  <si>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</si>
  <si>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</si>
  <si>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</si>
  <si>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</si>
  <si>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</si>
  <si>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</si>
  <si>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</si>
  <si>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</si>
  <si>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</si>
  <si>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</si>
  <si>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</si>
  <si>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</si>
  <si>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</si>
  <si>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</si>
  <si>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</si>
  <si>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</si>
  <si>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</si>
  <si>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</si>
  <si>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</si>
  <si>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</si>
  <si>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</si>
  <si>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</si>
  <si>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</si>
  <si>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</si>
  <si>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</si>
  <si>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</si>
  <si>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</si>
  <si>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</si>
  <si>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</si>
  <si>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</si>
  <si>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</si>
  <si>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</si>
  <si>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</si>
  <si>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</si>
  <si>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</si>
  <si>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</si>
  <si>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</si>
  <si>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</si>
  <si>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</si>
  <si>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</si>
  <si>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</si>
  <si>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</si>
  <si>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</si>
  <si>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</si>
  <si>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</si>
  <si>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</si>
  <si>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</si>
  <si>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</si>
  <si>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</si>
  <si>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</si>
  <si>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</si>
  <si>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</si>
  <si>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</si>
  <si>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</si>
  <si>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</si>
  <si>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</si>
  <si>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</si>
  <si>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</si>
  <si>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</si>
  <si>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</si>
  <si>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</si>
  <si>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</si>
  <si>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</si>
  <si>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</si>
  <si>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</si>
  <si>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</si>
  <si>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</si>
  <si>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</si>
  <si>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</si>
  <si>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</si>
  <si>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</si>
  <si>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</si>
  <si>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</si>
  <si>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</si>
  <si>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</si>
  <si>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</si>
  <si>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</si>
  <si>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</si>
  <si>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</si>
  <si>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</si>
  <si>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</si>
  <si>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</si>
  <si>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</si>
  <si>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</si>
  <si>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</si>
  <si>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</si>
  <si>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</si>
  <si>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</si>
  <si>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</si>
  <si>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</si>
  <si>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</si>
  <si>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</si>
  <si>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</si>
  <si>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</si>
  <si>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</si>
  <si>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</si>
  <si>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</si>
  <si>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</si>
  <si>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</si>
  <si>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</si>
  <si>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</si>
  <si>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</si>
  <si>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</si>
  <si>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</si>
  <si>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</si>
  <si>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</si>
  <si>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</si>
  <si>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</si>
  <si>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</si>
  <si>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</si>
  <si>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</si>
  <si>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</si>
  <si>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</si>
  <si>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</si>
  <si>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</si>
  <si>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</si>
  <si>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</si>
  <si>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</si>
  <si>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</si>
  <si>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</si>
  <si>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</si>
  <si>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</si>
  <si>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</si>
  <si>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</si>
  <si>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</si>
  <si>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</si>
  <si>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</si>
  <si>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</si>
  <si>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</si>
  <si>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</si>
  <si>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</si>
  <si>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</si>
  <si>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</si>
  <si>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</si>
  <si>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</si>
  <si>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</si>
  <si>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</si>
  <si>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</si>
  <si>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</si>
  <si>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</si>
  <si>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</si>
  <si>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</si>
  <si>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</si>
  <si>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</si>
  <si>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</si>
  <si>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</si>
  <si>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</si>
  <si>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</si>
  <si>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</si>
  <si>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</si>
  <si>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</si>
  <si>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</si>
  <si>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</si>
  <si>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</si>
  <si>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</si>
  <si>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</si>
  <si>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</si>
  <si>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</si>
  <si>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</si>
  <si>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</si>
  <si>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</si>
  <si>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</si>
  <si>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</si>
  <si>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</si>
  <si>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</si>
  <si>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</si>
  <si>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</si>
  <si>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</si>
  <si>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</si>
  <si>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</si>
  <si>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</si>
  <si>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</si>
  <si>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</si>
  <si>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</si>
  <si>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</si>
  <si>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</si>
  <si>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</si>
  <si>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</si>
  <si>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</si>
  <si>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</si>
  <si>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</si>
  <si>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</si>
  <si>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</si>
  <si>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</si>
  <si>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</si>
  <si>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</si>
  <si>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</si>
  <si>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</si>
  <si>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</si>
  <si>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</si>
  <si>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</si>
  <si>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</si>
  <si>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</si>
  <si>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</si>
  <si>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</si>
  <si>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</si>
  <si>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</si>
  <si>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</si>
  <si>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</si>
  <si>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</si>
  <si>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</si>
  <si>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</si>
  <si>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</si>
  <si>
    <t>ORD100001</t>
  </si>
  <si>
    <t>Total_Order</t>
  </si>
  <si>
    <t>Order_Id</t>
  </si>
  <si>
    <t>Count_Transaction_Mode_By_UPI</t>
  </si>
  <si>
    <t>Count_Transaction_Mode_By_CARD</t>
  </si>
  <si>
    <t>Count_Transaction_Mode_By_CASH</t>
  </si>
  <si>
    <t>Find Number Having Sales Value More Than 4000</t>
  </si>
  <si>
    <t>Find Number Having Sales Value More Than 4000 But Region Wise East</t>
  </si>
  <si>
    <t>Find Number Having Sales Value More Than 4000 But Region Wise West</t>
  </si>
  <si>
    <t>Find Number Having Sales Value More Than 4000 But Region Wise North</t>
  </si>
  <si>
    <t>Find Number Having Sales Value More Than 4000 But Region Wise South</t>
  </si>
  <si>
    <t>Count Of Sales For Customer Type MEMBER and Payment Mode is UPI and Card</t>
  </si>
  <si>
    <t>Sales_by_North</t>
  </si>
  <si>
    <t>Sales_by_South</t>
  </si>
  <si>
    <t>Sales_by_East</t>
  </si>
  <si>
    <t>Sales_By_West</t>
  </si>
  <si>
    <t>Number of Orders East</t>
  </si>
  <si>
    <t>Number of Order North</t>
  </si>
  <si>
    <t>Number of Order South</t>
  </si>
  <si>
    <t>Number of Order West</t>
  </si>
  <si>
    <t>Total Sales For Year 2023</t>
  </si>
  <si>
    <t>Last 6 Month Sales</t>
  </si>
  <si>
    <t>Employee ID</t>
  </si>
  <si>
    <t xml:space="preserve">Data </t>
  </si>
  <si>
    <t>Total Sales</t>
  </si>
  <si>
    <t>Total Sales Using SUBTOTAL</t>
  </si>
  <si>
    <t>EmpID</t>
  </si>
  <si>
    <t xml:space="preserve">EmployeeID </t>
  </si>
  <si>
    <t>UsingVlookup</t>
  </si>
  <si>
    <t>UsingIndex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</si>
  <si>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</si>
  <si>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</si>
  <si>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</si>
  <si>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</si>
  <si>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</si>
  <si>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</si>
  <si>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</si>
  <si>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</si>
  <si>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VLOOKUP+ MATCH</t>
  </si>
  <si>
    <t>Age</t>
  </si>
  <si>
    <t>Quantity</t>
  </si>
  <si>
    <t>Date</t>
  </si>
  <si>
    <t>OTP</t>
  </si>
  <si>
    <t xml:space="preserve">Order_Id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</si>
</sst>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yyyy\-mm\-dd"/>
    <numFmt numFmtId="165" formatCode="dd\.mm\.yyyy;@"/>
    <numFmt numFmtId="166" formatCode="dd\-mm\-yyyy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  <xf numFmtId="0" fontId="1" fillId="0" borderId="9" xfId="0" applyFont="1" applyFill="1" applyBorder="1"/>
    <xf numFmtId="0" fontId="0" fillId="0" borderId="0" xfId="0" applyAlignment="1">
      <alignment horizontal="center"/>
    </xf>
    <xf numFmtId="0" fontId="1" fillId="0" borderId="0" xfId="0" applyFont="1" applyFill="1" applyBorder="1"/>
    <xf numFmtId="9" fontId="0" fillId="0" borderId="9" xfId="3" applyFont="1" applyBorder="1"/>
    <xf numFmtId="0" fontId="0" fillId="8" borderId="0" xfId="0" applyFill="1"/>
    <xf numFmtId="0" fontId="7" fillId="9" borderId="9" xfId="0" applyFont="1" applyFill="1" applyBorder="1"/>
    <xf numFmtId="0" fontId="0" fillId="9" borderId="9" xfId="0" applyFill="1" applyBorder="1"/>
    <xf numFmtId="0" fontId="7" fillId="7" borderId="9" xfId="0" applyFont="1" applyFill="1" applyBorder="1"/>
    <xf numFmtId="0" fontId="0" fillId="11" borderId="9" xfId="0" applyFill="1" applyBorder="1"/>
    <xf numFmtId="0" fontId="0" fillId="10" borderId="9" xfId="0" applyFill="1" applyBorder="1"/>
    <xf numFmtId="0" fontId="0" fillId="7" borderId="9" xfId="0" applyFill="1" applyBorder="1" applyAlignment="1">
      <alignment horizontal="center"/>
    </xf>
    <xf numFmtId="165" fontId="0" fillId="0" borderId="9" xfId="0" applyNumberFormat="1" applyBorder="1"/>
    <xf numFmtId="165" fontId="0" fillId="0" borderId="0" xfId="0" applyNumberFormat="1"/>
    <xf numFmtId="0" fontId="0" fillId="7" borderId="10" xfId="0" applyFill="1" applyBorder="1" applyAlignment="1">
      <alignment horizontal="center"/>
    </xf>
    <xf numFmtId="0" fontId="1" fillId="12" borderId="0" xfId="0" applyFont="1" applyFill="1"/>
    <xf numFmtId="0" fontId="1" fillId="7" borderId="0" xfId="0" applyFont="1" applyFill="1"/>
    <xf numFmtId="166" fontId="0" fillId="7" borderId="9" xfId="0" applyNumberFormat="1" applyFill="1" applyBorder="1" applyAlignment="1">
      <alignment horizontal="center"/>
    </xf>
    <xf numFmtId="166" fontId="0" fillId="0" borderId="9" xfId="0" applyNumberFormat="1" applyBorder="1"/>
    <xf numFmtId="166" fontId="0" fillId="0" borderId="0" xfId="0" applyNumberForma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4" dataDxfId="23" tableBorderDxfId="22">
  <autoFilter ref="A1:P499" xr:uid="{E9EA62CC-89F7-4F3B-BD9F-F8C05C3E138F}"/>
  <tableColumns count="16">
    <tableColumn id="1" xr3:uid="{B7F21A3A-E9F0-468E-97F8-7B3FAC2DBDFE}" name="Order_Id" dataDxfId="21"/>
    <tableColumn id="2" xr3:uid="{05F6E9FA-25A7-4B6B-A848-54A6D80DECAC}" name="Region" dataDxfId="20"/>
    <tableColumn id="17" xr3:uid="{C83619D3-C35D-4142-8385-D268D1C83988}" name="Updated_Region" dataDxfId="19"/>
    <tableColumn id="3" xr3:uid="{5FCC796F-4F4F-493A-B022-58C82C79A93A}" name="Category" dataDxfId="18"/>
    <tableColumn id="4" xr3:uid="{3FCE68DB-4CEC-40AE-B661-EA53366A51E8}" name="sales" dataDxfId="17"/>
    <tableColumn id="15" xr3:uid="{6B2115CE-A9BC-4D55-898F-D45A1E013F08}" name="Sales_Range" dataDxfId="16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5"/>
    <tableColumn id="6" xr3:uid="{2A898607-8934-4774-A603-6022A491EEB6}" name="quantity" dataDxfId="14"/>
    <tableColumn id="7" xr3:uid="{B389254D-5FC3-4CBC-AC59-9299E28BC597}" name="order_date" dataDxfId="13"/>
    <tableColumn id="8" xr3:uid="{8B502A45-B41C-4FC8-9D80-834A966FB61B}" name="delivery_date" dataDxfId="12"/>
    <tableColumn id="9" xr3:uid="{B8C2A60B-B1ED-4620-85AC-ABEB1CF14605}" name="customer_type" dataDxfId="11"/>
    <tableColumn id="11" xr3:uid="{0EC10F89-695A-4256-8BA6-B87E50EF1DA5}" name="payment_mode" dataDxfId="10"/>
    <tableColumn id="12" xr3:uid="{12061CEA-BF50-4634-8511-FAC42B11C1A9}" name="profit" dataDxfId="9"/>
    <tableColumn id="16" xr3:uid="{33BB5293-65CC-4A1F-8DC0-7511030FFE84}" name="Updated_City" dataDxfId="8"/>
    <tableColumn id="13" xr3:uid="{F70F69E9-EB53-4CF5-AD04-B968AD862ED3}" name="city" dataDxfId="7"/>
    <tableColumn id="19" xr3:uid="{5F1422B9-56D4-4E12-9A8B-A83D504A1CD5}" name="Discount_Category" dataDxfId="6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opLeftCell="Q37" zoomScale="110" zoomScaleNormal="110" workbookViewId="0">
      <selection activeCell="T45" sqref="T45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8.75" bestFit="1" customWidth="1"/>
    <col min="19" max="19" width="10.75" bestFit="1" customWidth="1"/>
    <col min="20" max="22" width="8.6640625" customWidth="1"/>
  </cols>
  <sheetData>
    <row r="1" spans="1:24" ht="14.25" customHeight="1">
      <c r="A1" s="20" t="s">
        <v>655</v>
      </c>
      <c r="B1" s="21" t="s">
        <v>0</v>
      </c>
      <c r="C1" s="21" t="s">
        <v>572</v>
      </c>
      <c r="D1" s="21" t="s">
        <v>1</v>
      </c>
      <c r="E1" s="21" t="s">
        <v>2</v>
      </c>
      <c r="F1" s="21" t="s">
        <v>631</v>
      </c>
      <c r="G1" s="21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540</v>
      </c>
      <c r="O1" s="23" t="s">
        <v>10</v>
      </c>
      <c r="P1" s="25" t="s">
        <v>635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653</v>
      </c>
      <c r="B3" s="9" t="s">
        <v>573</v>
      </c>
      <c r="C3" s="9" t="s">
        <v>573</v>
      </c>
      <c r="D3" s="10" t="s">
        <v>17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10" t="s">
        <v>77</v>
      </c>
      <c r="O3" s="12" t="s">
        <v>20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637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21</v>
      </c>
      <c r="B4" s="14" t="s">
        <v>22</v>
      </c>
      <c r="C4" s="14" t="s">
        <v>22</v>
      </c>
      <c r="D4" s="15" t="s">
        <v>23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15" t="s">
        <v>25</v>
      </c>
      <c r="O4" s="17" t="s">
        <v>25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26</v>
      </c>
      <c r="B5" s="9" t="s">
        <v>27</v>
      </c>
      <c r="C5" s="9" t="s">
        <v>27</v>
      </c>
      <c r="D5" s="10" t="s">
        <v>17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33</v>
      </c>
      <c r="O5" s="18" t="s">
        <v>28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638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29</v>
      </c>
      <c r="B6" s="14" t="s">
        <v>12</v>
      </c>
      <c r="C6" s="9" t="s">
        <v>12</v>
      </c>
      <c r="D6" s="15" t="s">
        <v>17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10" t="s">
        <v>16</v>
      </c>
      <c r="O6" s="17" t="s">
        <v>16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31</v>
      </c>
      <c r="B7" s="9" t="s">
        <v>573</v>
      </c>
      <c r="C7" s="9" t="s">
        <v>573</v>
      </c>
      <c r="D7" s="10" t="s">
        <v>32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33</v>
      </c>
      <c r="O7" s="12" t="s">
        <v>33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639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34</v>
      </c>
      <c r="B8" s="14" t="s">
        <v>22</v>
      </c>
      <c r="C8" s="9" t="s">
        <v>22</v>
      </c>
      <c r="D8" s="15" t="s">
        <v>35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10" t="s">
        <v>16</v>
      </c>
      <c r="O8" s="17" t="s">
        <v>16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36</v>
      </c>
      <c r="B9" s="9" t="s">
        <v>27</v>
      </c>
      <c r="C9" s="9" t="s">
        <v>27</v>
      </c>
      <c r="D9" s="10" t="s">
        <v>35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15</v>
      </c>
      <c r="M9" s="10">
        <v>91.68</v>
      </c>
      <c r="N9" s="10" t="s">
        <v>25</v>
      </c>
      <c r="O9" s="12" t="s">
        <v>37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651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38</v>
      </c>
      <c r="B10" s="14" t="s">
        <v>12</v>
      </c>
      <c r="C10" s="9" t="s">
        <v>12</v>
      </c>
      <c r="D10" s="15" t="s">
        <v>35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15" t="s">
        <v>39</v>
      </c>
      <c r="O10" s="17" t="s">
        <v>39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40</v>
      </c>
      <c r="B11" s="9" t="s">
        <v>573</v>
      </c>
      <c r="C11" s="9" t="s">
        <v>573</v>
      </c>
      <c r="D11" s="10" t="s">
        <v>32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26" t="s">
        <v>77</v>
      </c>
      <c r="O11" s="12" t="s">
        <v>20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652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41</v>
      </c>
      <c r="B12" s="14" t="s">
        <v>22</v>
      </c>
      <c r="C12" s="9" t="s">
        <v>22</v>
      </c>
      <c r="D12" s="15" t="s">
        <v>13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15" t="s">
        <v>39</v>
      </c>
      <c r="O12" s="17" t="s">
        <v>42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43</v>
      </c>
      <c r="B13" s="9" t="s">
        <v>27</v>
      </c>
      <c r="C13" s="9" t="s">
        <v>27</v>
      </c>
      <c r="D13" s="10" t="s">
        <v>13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15</v>
      </c>
      <c r="M13" s="10">
        <v>1028.47</v>
      </c>
      <c r="N13" s="26" t="s">
        <v>39</v>
      </c>
      <c r="O13" s="12" t="s">
        <v>39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T13" s="1"/>
      <c r="U13" s="1"/>
      <c r="V13" s="1"/>
      <c r="W13" s="1"/>
      <c r="X13" s="1"/>
    </row>
    <row r="14" spans="1:24" ht="14.25" customHeight="1">
      <c r="A14" s="13" t="s">
        <v>44</v>
      </c>
      <c r="B14" s="14" t="s">
        <v>12</v>
      </c>
      <c r="C14" s="9" t="s">
        <v>12</v>
      </c>
      <c r="D14" s="15" t="s">
        <v>23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15" t="s">
        <v>33</v>
      </c>
      <c r="O14" s="17" t="s">
        <v>28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41" t="s">
        <v>654</v>
      </c>
      <c r="S14" s="41">
        <f>COUNT(Dmart_Sales_Data[sales])</f>
        <v>498</v>
      </c>
      <c r="T14" s="1"/>
      <c r="U14" s="1"/>
      <c r="V14" s="1"/>
      <c r="W14" s="1"/>
      <c r="X14" s="1"/>
    </row>
    <row r="15" spans="1:24" ht="14.25" customHeight="1">
      <c r="A15" s="8" t="s">
        <v>45</v>
      </c>
      <c r="B15" s="9" t="s">
        <v>573</v>
      </c>
      <c r="C15" s="9" t="s">
        <v>573</v>
      </c>
      <c r="D15" s="10" t="s">
        <v>13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24</v>
      </c>
      <c r="M15" s="10">
        <v>255.49</v>
      </c>
      <c r="N15" s="26" t="s">
        <v>25</v>
      </c>
      <c r="O15" s="12" t="s">
        <v>46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41" t="s">
        <v>656</v>
      </c>
      <c r="S15" s="41">
        <f>COUNTIF(Dmart_Sales_Data[payment_mode],"UPI")</f>
        <v>149</v>
      </c>
      <c r="T15" s="1"/>
      <c r="U15" s="1"/>
      <c r="V15" s="1"/>
      <c r="W15" s="1"/>
      <c r="X15" s="1"/>
    </row>
    <row r="16" spans="1:24" ht="14.25" customHeight="1">
      <c r="A16" s="13" t="s">
        <v>47</v>
      </c>
      <c r="B16" s="14" t="s">
        <v>22</v>
      </c>
      <c r="C16" s="9" t="s">
        <v>22</v>
      </c>
      <c r="D16" s="15" t="s">
        <v>13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15</v>
      </c>
      <c r="M16" s="15">
        <v>804.36</v>
      </c>
      <c r="N16" s="15" t="s">
        <v>25</v>
      </c>
      <c r="O16" s="17" t="s">
        <v>37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41" t="s">
        <v>657</v>
      </c>
      <c r="S16" s="41">
        <f>COUNTIF(Dmart_Sales_Data[payment_mode],"Card")</f>
        <v>164</v>
      </c>
      <c r="T16" s="1"/>
      <c r="U16" s="1"/>
      <c r="V16" s="1"/>
      <c r="W16" s="1"/>
      <c r="X16" s="1"/>
    </row>
    <row r="17" spans="1:24" ht="14.25" customHeight="1">
      <c r="A17" s="8" t="s">
        <v>48</v>
      </c>
      <c r="B17" s="9" t="s">
        <v>27</v>
      </c>
      <c r="C17" s="9" t="s">
        <v>27</v>
      </c>
      <c r="D17" s="10" t="s">
        <v>35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19</v>
      </c>
      <c r="M17" s="10">
        <v>284.91000000000003</v>
      </c>
      <c r="N17" s="26" t="s">
        <v>39</v>
      </c>
      <c r="O17" s="12" t="s">
        <v>39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41" t="s">
        <v>658</v>
      </c>
      <c r="S17" s="41">
        <f>COUNTIF(Dmart_Sales_Data[payment_mode],"Cash")</f>
        <v>185</v>
      </c>
      <c r="T17" s="1"/>
      <c r="U17" s="1"/>
      <c r="V17" s="1"/>
      <c r="W17" s="1"/>
      <c r="X17" s="1"/>
    </row>
    <row r="18" spans="1:24" ht="14.25" customHeight="1">
      <c r="A18" s="13" t="s">
        <v>49</v>
      </c>
      <c r="B18" s="14" t="s">
        <v>12</v>
      </c>
      <c r="C18" s="9" t="s">
        <v>12</v>
      </c>
      <c r="D18" s="15" t="s">
        <v>17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19</v>
      </c>
      <c r="M18" s="15">
        <v>504.83</v>
      </c>
      <c r="N18" s="15" t="s">
        <v>16</v>
      </c>
      <c r="O18" s="17" t="s">
        <v>50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51</v>
      </c>
      <c r="B19" s="9" t="s">
        <v>573</v>
      </c>
      <c r="C19" s="9" t="s">
        <v>573</v>
      </c>
      <c r="D19" s="10" t="s">
        <v>13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26" t="s">
        <v>39</v>
      </c>
      <c r="O19" s="12" t="s">
        <v>42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52</v>
      </c>
      <c r="B20" s="14" t="s">
        <v>22</v>
      </c>
      <c r="C20" s="9" t="s">
        <v>22</v>
      </c>
      <c r="D20" s="15" t="s">
        <v>13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5" t="s">
        <v>77</v>
      </c>
      <c r="O20" s="17" t="s">
        <v>53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47" t="s">
        <v>659</v>
      </c>
      <c r="S20" s="41">
        <f>COUNTIF(Dmart_Sales_Data[sales],"&gt;4000")</f>
        <v>115</v>
      </c>
      <c r="T20" s="1"/>
      <c r="U20" s="1"/>
      <c r="V20" s="1"/>
      <c r="W20" s="1"/>
      <c r="X20" s="1"/>
    </row>
    <row r="21" spans="1:24" ht="14.25" customHeight="1">
      <c r="A21" s="8" t="s">
        <v>54</v>
      </c>
      <c r="B21" s="9" t="s">
        <v>27</v>
      </c>
      <c r="C21" s="9" t="s">
        <v>27</v>
      </c>
      <c r="D21" s="10" t="s">
        <v>32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26" t="s">
        <v>25</v>
      </c>
      <c r="O21" s="12" t="s">
        <v>37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41" t="s">
        <v>660</v>
      </c>
      <c r="S21" s="41">
        <f>COUNTIFS(Dmart_Sales_Data[sales],"&gt;4000",Dmart_Sales_Data[Updated_Region],"=East")</f>
        <v>29</v>
      </c>
      <c r="T21" s="1"/>
      <c r="U21" s="1"/>
      <c r="V21" s="1"/>
      <c r="W21" s="1"/>
      <c r="X21" s="1"/>
    </row>
    <row r="22" spans="1:24" ht="14.25" customHeight="1">
      <c r="A22" s="13" t="s">
        <v>55</v>
      </c>
      <c r="B22" s="14" t="s">
        <v>12</v>
      </c>
      <c r="C22" s="9" t="s">
        <v>12</v>
      </c>
      <c r="D22" s="15" t="s">
        <v>23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15" t="s">
        <v>33</v>
      </c>
      <c r="O22" s="17" t="s">
        <v>56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41" t="s">
        <v>661</v>
      </c>
      <c r="S22" s="41">
        <f>COUNTIFS(Dmart_Sales_Data[sales],"&gt;4000",Dmart_Sales_Data[Updated_Region],"=West")</f>
        <v>27</v>
      </c>
      <c r="T22" s="1"/>
      <c r="U22" s="1"/>
      <c r="V22" s="1"/>
      <c r="W22" s="1"/>
      <c r="X22" s="1"/>
    </row>
    <row r="23" spans="1:24" ht="14.25" customHeight="1">
      <c r="A23" s="8" t="s">
        <v>57</v>
      </c>
      <c r="B23" s="9" t="s">
        <v>573</v>
      </c>
      <c r="C23" s="9" t="s">
        <v>573</v>
      </c>
      <c r="D23" s="10" t="s">
        <v>32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24</v>
      </c>
      <c r="M23" s="10">
        <v>920.22</v>
      </c>
      <c r="N23" s="26" t="s">
        <v>25</v>
      </c>
      <c r="O23" s="12" t="s">
        <v>37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41" t="s">
        <v>662</v>
      </c>
      <c r="S23" s="41">
        <f>COUNTIFS(Dmart_Sales_Data[sales],"&gt;4000",Dmart_Sales_Data[Updated_Region],"=North")</f>
        <v>32</v>
      </c>
      <c r="T23" s="1"/>
      <c r="U23" s="1"/>
      <c r="V23" s="1"/>
      <c r="W23" s="1"/>
      <c r="X23" s="1"/>
    </row>
    <row r="24" spans="1:24" ht="14.25" customHeight="1">
      <c r="A24" s="13" t="s">
        <v>58</v>
      </c>
      <c r="B24" s="14" t="s">
        <v>22</v>
      </c>
      <c r="C24" s="9" t="s">
        <v>22</v>
      </c>
      <c r="D24" s="15" t="s">
        <v>35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15" t="s">
        <v>39</v>
      </c>
      <c r="O24" s="17" t="s">
        <v>39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41" t="s">
        <v>663</v>
      </c>
      <c r="S24" s="41">
        <f>COUNTIFS(Dmart_Sales_Data[sales],"&gt;4000",Dmart_Sales_Data[Updated_Region],"=South")</f>
        <v>27</v>
      </c>
      <c r="T24" s="1"/>
      <c r="U24" s="1"/>
      <c r="V24" s="1"/>
      <c r="W24" s="1"/>
      <c r="X24" s="1"/>
    </row>
    <row r="25" spans="1:24" ht="14.25" customHeight="1">
      <c r="A25" s="8" t="s">
        <v>59</v>
      </c>
      <c r="B25" s="9" t="s">
        <v>27</v>
      </c>
      <c r="C25" s="9" t="s">
        <v>27</v>
      </c>
      <c r="D25" s="10" t="s">
        <v>17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26" t="s">
        <v>33</v>
      </c>
      <c r="O25" s="12" t="s">
        <v>33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60</v>
      </c>
      <c r="B26" s="14" t="s">
        <v>12</v>
      </c>
      <c r="C26" s="9" t="s">
        <v>12</v>
      </c>
      <c r="D26" s="15" t="s">
        <v>23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15" t="s">
        <v>98</v>
      </c>
      <c r="O26" s="17" t="s">
        <v>61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47" t="s">
        <v>664</v>
      </c>
      <c r="S26" s="29">
        <f>COUNTIFS(Dmart_Sales_Data[customer_type],"Member",Dmart_Sales_Data[payment_mode],"UPI")+COUNTIFS(Dmart_Sales_Data[customer_type],"Member",Dmart_Sales_Data[payment_mode],"Card")</f>
        <v>97</v>
      </c>
      <c r="T26" s="1"/>
      <c r="U26" s="1"/>
      <c r="V26" s="1"/>
      <c r="W26" s="1"/>
      <c r="X26" s="1"/>
    </row>
    <row r="27" spans="1:24" ht="14.25" customHeight="1">
      <c r="A27" s="8" t="s">
        <v>62</v>
      </c>
      <c r="B27" s="9" t="s">
        <v>573</v>
      </c>
      <c r="C27" s="9" t="s">
        <v>573</v>
      </c>
      <c r="D27" s="10" t="s">
        <v>32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26" t="s">
        <v>98</v>
      </c>
      <c r="O27" s="12" t="s">
        <v>63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64</v>
      </c>
      <c r="B28" s="14" t="s">
        <v>22</v>
      </c>
      <c r="C28" s="9" t="s">
        <v>22</v>
      </c>
      <c r="D28" s="15" t="s">
        <v>13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5" t="s">
        <v>33</v>
      </c>
      <c r="O28" s="17" t="s">
        <v>56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47" t="s">
        <v>665</v>
      </c>
      <c r="S28" s="41">
        <f>SUMIF(Dmart_Sales_Data[Updated_Region],"North",Dmart_Sales_Data[sales])</f>
        <v>334964.16000000003</v>
      </c>
      <c r="T28" s="1"/>
      <c r="U28" s="1"/>
      <c r="V28" s="1"/>
      <c r="W28" s="1"/>
      <c r="X28" s="1"/>
    </row>
    <row r="29" spans="1:24" ht="14.25" customHeight="1">
      <c r="A29" s="8" t="s">
        <v>65</v>
      </c>
      <c r="B29" s="9" t="s">
        <v>27</v>
      </c>
      <c r="C29" s="9" t="s">
        <v>27</v>
      </c>
      <c r="D29" s="10" t="s">
        <v>13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26" t="s">
        <v>39</v>
      </c>
      <c r="O29" s="12" t="s">
        <v>66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41" t="s">
        <v>666</v>
      </c>
      <c r="S29" s="41">
        <f>SUMIF(Dmart_Sales_Data[Updated_Region],"South",Dmart_Sales_Data[sales])</f>
        <v>303623.68999999994</v>
      </c>
      <c r="T29" s="1"/>
      <c r="U29" s="1"/>
      <c r="V29" s="1"/>
      <c r="W29" s="1"/>
      <c r="X29" s="1"/>
    </row>
    <row r="30" spans="1:24" ht="14.25" customHeight="1">
      <c r="A30" s="13" t="s">
        <v>67</v>
      </c>
      <c r="B30" s="14" t="s">
        <v>12</v>
      </c>
      <c r="C30" s="9" t="s">
        <v>12</v>
      </c>
      <c r="D30" s="15" t="s">
        <v>23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5" t="s">
        <v>39</v>
      </c>
      <c r="O30" s="17" t="s">
        <v>39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41" t="s">
        <v>667</v>
      </c>
      <c r="S30" s="41">
        <f>SUMIF(Dmart_Sales_Data[Updated_Region],"East",Dmart_Sales_Data[sales])</f>
        <v>337881.26999999996</v>
      </c>
      <c r="T30" s="1"/>
      <c r="U30" s="1"/>
      <c r="V30" s="1"/>
      <c r="W30" s="1"/>
      <c r="X30" s="1"/>
    </row>
    <row r="31" spans="1:24" ht="14.25" customHeight="1">
      <c r="A31" s="8" t="s">
        <v>68</v>
      </c>
      <c r="B31" s="9" t="s">
        <v>573</v>
      </c>
      <c r="C31" s="9" t="s">
        <v>573</v>
      </c>
      <c r="D31" s="10" t="s">
        <v>13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26" t="s">
        <v>33</v>
      </c>
      <c r="O31" s="12" t="s">
        <v>33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41" t="s">
        <v>668</v>
      </c>
      <c r="S31" s="41">
        <f>SUMIF(Dmart_Sales_Data[Updated_Region],"West",Dmart_Sales_Data[sales])</f>
        <v>346200.06999999983</v>
      </c>
      <c r="T31" s="1"/>
      <c r="U31" s="1"/>
      <c r="V31" s="1"/>
      <c r="W31" s="1"/>
      <c r="X31" s="1"/>
    </row>
    <row r="32" spans="1:24" ht="14.25" customHeight="1">
      <c r="A32" s="13" t="s">
        <v>69</v>
      </c>
      <c r="B32" s="14" t="s">
        <v>22</v>
      </c>
      <c r="C32" s="9" t="s">
        <v>22</v>
      </c>
      <c r="D32" s="15" t="s">
        <v>32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15" t="s">
        <v>39</v>
      </c>
      <c r="O32" s="17" t="s">
        <v>66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70</v>
      </c>
      <c r="B33" s="9" t="s">
        <v>27</v>
      </c>
      <c r="C33" s="9" t="s">
        <v>27</v>
      </c>
      <c r="D33" s="10" t="s">
        <v>32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26" t="s">
        <v>16</v>
      </c>
      <c r="O33" s="12" t="s">
        <v>16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47" t="s">
        <v>669</v>
      </c>
      <c r="S33" s="41">
        <f>COUNTIF(Dmart_Sales_Data[Updated_Region],"East")</f>
        <v>125</v>
      </c>
      <c r="T33" s="1"/>
      <c r="U33" s="1"/>
      <c r="V33" s="1"/>
      <c r="W33" s="1"/>
      <c r="X33" s="1"/>
    </row>
    <row r="34" spans="1:24" ht="14.25" customHeight="1">
      <c r="A34" s="13" t="s">
        <v>71</v>
      </c>
      <c r="B34" s="14" t="s">
        <v>12</v>
      </c>
      <c r="C34" s="9" t="s">
        <v>12</v>
      </c>
      <c r="D34" s="15" t="s">
        <v>13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15" t="s">
        <v>77</v>
      </c>
      <c r="O34" s="17" t="s">
        <v>53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47" t="s">
        <v>670</v>
      </c>
      <c r="S34" s="41">
        <f>COUNTIF(Dmart_Sales_Data[Updated_Region],"North")</f>
        <v>124</v>
      </c>
      <c r="T34" s="1"/>
      <c r="U34" s="1"/>
      <c r="V34" s="1"/>
      <c r="W34" s="1"/>
      <c r="X34" s="1"/>
    </row>
    <row r="35" spans="1:24" ht="14.25" customHeight="1">
      <c r="A35" s="8" t="s">
        <v>72</v>
      </c>
      <c r="B35" s="9" t="s">
        <v>573</v>
      </c>
      <c r="C35" s="9" t="s">
        <v>573</v>
      </c>
      <c r="D35" s="10" t="s">
        <v>13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15</v>
      </c>
      <c r="M35" s="10">
        <v>1002.97</v>
      </c>
      <c r="N35" s="26" t="s">
        <v>25</v>
      </c>
      <c r="O35" s="12" t="s">
        <v>25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47" t="s">
        <v>671</v>
      </c>
      <c r="S35" s="41">
        <f>COUNTIF(Dmart_Sales_Data[Updated_Region],"South")</f>
        <v>124</v>
      </c>
      <c r="T35" s="1"/>
      <c r="U35" s="1"/>
      <c r="V35" s="1"/>
      <c r="W35" s="1"/>
      <c r="X35" s="1"/>
    </row>
    <row r="36" spans="1:24" ht="14.25" customHeight="1">
      <c r="A36" s="13" t="s">
        <v>73</v>
      </c>
      <c r="B36" s="14" t="s">
        <v>22</v>
      </c>
      <c r="C36" s="9" t="s">
        <v>22</v>
      </c>
      <c r="D36" s="15" t="s">
        <v>35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15" t="s">
        <v>16</v>
      </c>
      <c r="O36" s="17" t="s">
        <v>16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47" t="s">
        <v>672</v>
      </c>
      <c r="S36" s="41">
        <f>COUNTIF(Dmart_Sales_Data[Updated_Region],"West")</f>
        <v>125</v>
      </c>
      <c r="T36" s="1"/>
      <c r="U36" s="1"/>
      <c r="V36" s="1"/>
      <c r="W36" s="1"/>
      <c r="X36" s="1"/>
    </row>
    <row r="37" spans="1:24" ht="14.25" customHeight="1">
      <c r="A37" s="8" t="s">
        <v>74</v>
      </c>
      <c r="B37" s="9" t="s">
        <v>27</v>
      </c>
      <c r="C37" s="9" t="s">
        <v>27</v>
      </c>
      <c r="D37" s="10" t="s">
        <v>17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15</v>
      </c>
      <c r="M37" s="10">
        <v>177.84</v>
      </c>
      <c r="N37" s="26" t="s">
        <v>77</v>
      </c>
      <c r="O37" s="12" t="s">
        <v>53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75</v>
      </c>
      <c r="B38" s="14" t="s">
        <v>12</v>
      </c>
      <c r="C38" s="9" t="s">
        <v>12</v>
      </c>
      <c r="D38" s="15" t="s">
        <v>23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15" t="s">
        <v>16</v>
      </c>
      <c r="O38" s="17" t="s">
        <v>16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47" t="s">
        <v>673</v>
      </c>
      <c r="S38" s="41">
        <f>SUMIF(Dmart_Sales_Data[order_date],"&lt;2024-01-01",Dmart_Sales_Data[sales])</f>
        <v>654586.69000000018</v>
      </c>
      <c r="T38" s="1"/>
      <c r="U38" s="1"/>
      <c r="V38" s="1"/>
      <c r="W38" s="1"/>
      <c r="X38" s="1"/>
    </row>
    <row r="39" spans="1:24" ht="14.25" customHeight="1">
      <c r="A39" s="8" t="s">
        <v>76</v>
      </c>
      <c r="B39" s="9" t="s">
        <v>573</v>
      </c>
      <c r="C39" s="9" t="s">
        <v>573</v>
      </c>
      <c r="D39" s="10" t="s">
        <v>32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24</v>
      </c>
      <c r="M39" s="10">
        <v>586.69000000000005</v>
      </c>
      <c r="N39" s="26" t="s">
        <v>77</v>
      </c>
      <c r="O39" s="12" t="s">
        <v>77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47" t="s">
        <v>674</v>
      </c>
      <c r="S39" s="41">
        <f>SUMIF(Dmart_Sales_Data[order_date],"&gt;=2024-07-01",Dmart_Sales_Data[sales])</f>
        <v>368049.34999999992</v>
      </c>
      <c r="T39" s="1"/>
      <c r="U39" s="1"/>
      <c r="V39" s="1"/>
      <c r="W39" s="1"/>
      <c r="X39" s="1"/>
    </row>
    <row r="40" spans="1:24" ht="14.25" customHeight="1">
      <c r="A40" s="13" t="s">
        <v>78</v>
      </c>
      <c r="B40" s="14" t="s">
        <v>22</v>
      </c>
      <c r="C40" s="9" t="s">
        <v>22</v>
      </c>
      <c r="D40" s="15" t="s">
        <v>23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15</v>
      </c>
      <c r="M40" s="15">
        <v>742.22</v>
      </c>
      <c r="N40" s="15" t="s">
        <v>33</v>
      </c>
      <c r="O40" s="17" t="s">
        <v>33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79</v>
      </c>
      <c r="B41" s="9" t="s">
        <v>27</v>
      </c>
      <c r="C41" s="9" t="s">
        <v>27</v>
      </c>
      <c r="D41" s="10" t="s">
        <v>35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19</v>
      </c>
      <c r="M41" s="10">
        <v>119.91</v>
      </c>
      <c r="N41" s="26" t="s">
        <v>25</v>
      </c>
      <c r="O41" s="12" t="s">
        <v>37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47" t="s">
        <v>677</v>
      </c>
      <c r="S41" s="41">
        <f>SUM(Dmart_Sales_Data[sales])</f>
        <v>1322669.1900000023</v>
      </c>
      <c r="T41" s="1"/>
      <c r="U41" s="1"/>
      <c r="V41" s="1"/>
      <c r="W41" s="1"/>
      <c r="X41" s="1"/>
    </row>
    <row r="42" spans="1:24" ht="14.25" customHeight="1">
      <c r="A42" s="13" t="s">
        <v>80</v>
      </c>
      <c r="B42" s="14" t="s">
        <v>12</v>
      </c>
      <c r="C42" s="9" t="s">
        <v>12</v>
      </c>
      <c r="D42" s="15" t="s">
        <v>32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15" t="s">
        <v>77</v>
      </c>
      <c r="O42" s="17" t="s">
        <v>77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47" t="s">
        <v>678</v>
      </c>
      <c r="S42" s="41">
        <f>SUBTOTAL(9,Dmart_Sales_Data[sales])</f>
        <v>1322669.1900000023</v>
      </c>
      <c r="T42" s="1"/>
      <c r="U42" s="1"/>
      <c r="V42" s="1"/>
      <c r="W42" s="1"/>
      <c r="X42" s="1"/>
    </row>
    <row r="43" spans="1:24" ht="14.25" customHeight="1">
      <c r="A43" s="8" t="s">
        <v>81</v>
      </c>
      <c r="B43" s="9" t="s">
        <v>573</v>
      </c>
      <c r="C43" s="9" t="s">
        <v>573</v>
      </c>
      <c r="D43" s="10" t="s">
        <v>35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19</v>
      </c>
      <c r="M43" s="10">
        <v>765.08</v>
      </c>
      <c r="N43" s="26" t="s">
        <v>39</v>
      </c>
      <c r="O43" s="12" t="s">
        <v>66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T43" s="1"/>
      <c r="U43" s="1"/>
      <c r="V43" s="1"/>
      <c r="W43" s="1"/>
      <c r="X43" s="1"/>
    </row>
    <row r="44" spans="1:24" ht="14.25" customHeight="1">
      <c r="A44" s="13" t="s">
        <v>82</v>
      </c>
      <c r="B44" s="14" t="s">
        <v>22</v>
      </c>
      <c r="C44" s="9" t="s">
        <v>22</v>
      </c>
      <c r="D44" s="15" t="s">
        <v>35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15" t="s">
        <v>39</v>
      </c>
      <c r="O44" s="17" t="s">
        <v>66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61" t="s">
        <v>696</v>
      </c>
      <c r="S44" s="62" t="s">
        <v>576</v>
      </c>
      <c r="T44" s="1" t="s">
        <v>689</v>
      </c>
      <c r="U44" s="1"/>
      <c r="V44" s="1"/>
      <c r="W44" s="1"/>
      <c r="X44" s="1"/>
    </row>
    <row r="45" spans="1:24" ht="14.25" customHeight="1">
      <c r="A45" s="8" t="s">
        <v>83</v>
      </c>
      <c r="B45" s="9" t="s">
        <v>27</v>
      </c>
      <c r="C45" s="9" t="s">
        <v>27</v>
      </c>
      <c r="D45" s="10" t="s">
        <v>13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24</v>
      </c>
      <c r="M45" s="10">
        <v>235.05</v>
      </c>
      <c r="N45" s="26" t="s">
        <v>39</v>
      </c>
      <c r="O45" s="12" t="s">
        <v>39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 t="s">
        <v>11</v>
      </c>
      <c r="S45" s="1">
        <f>VLOOKUP(R45,Dmart_Sales_Data[],MATCH(S44,Dmart_Sales_Data[#Headers],0),FALSE)</f>
        <v>713.49</v>
      </c>
      <c r="T45" s="1"/>
      <c r="U45" s="1"/>
      <c r="V45" s="1"/>
      <c r="W45" s="1"/>
      <c r="X45" s="1"/>
    </row>
    <row r="46" spans="1:24" ht="14.25" customHeight="1">
      <c r="A46" s="13" t="s">
        <v>84</v>
      </c>
      <c r="B46" s="14" t="s">
        <v>12</v>
      </c>
      <c r="C46" s="9" t="s">
        <v>12</v>
      </c>
      <c r="D46" s="15" t="s">
        <v>23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15" t="s">
        <v>39</v>
      </c>
      <c r="O46" s="17" t="s">
        <v>39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85</v>
      </c>
      <c r="B47" s="9" t="s">
        <v>573</v>
      </c>
      <c r="C47" s="9" t="s">
        <v>573</v>
      </c>
      <c r="D47" s="10" t="s">
        <v>23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26" t="s">
        <v>16</v>
      </c>
      <c r="O47" s="12" t="s">
        <v>16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86</v>
      </c>
      <c r="B48" s="14" t="s">
        <v>22</v>
      </c>
      <c r="C48" s="9" t="s">
        <v>22</v>
      </c>
      <c r="D48" s="15" t="s">
        <v>13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19</v>
      </c>
      <c r="M48" s="15">
        <v>127.89</v>
      </c>
      <c r="N48" s="15" t="s">
        <v>16</v>
      </c>
      <c r="O48" s="17" t="s">
        <v>50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87</v>
      </c>
      <c r="B49" s="9" t="s">
        <v>27</v>
      </c>
      <c r="C49" s="9" t="s">
        <v>27</v>
      </c>
      <c r="D49" s="10" t="s">
        <v>23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26" t="s">
        <v>33</v>
      </c>
      <c r="O49" s="12" t="s">
        <v>28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88</v>
      </c>
      <c r="B50" s="14" t="s">
        <v>12</v>
      </c>
      <c r="C50" s="9" t="s">
        <v>12</v>
      </c>
      <c r="D50" s="15" t="s">
        <v>13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15" t="s">
        <v>33</v>
      </c>
      <c r="O50" s="17" t="s">
        <v>56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89</v>
      </c>
      <c r="B51" s="9" t="s">
        <v>573</v>
      </c>
      <c r="C51" s="9" t="s">
        <v>573</v>
      </c>
      <c r="D51" s="10" t="s">
        <v>32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24</v>
      </c>
      <c r="M51" s="10">
        <v>1139.21</v>
      </c>
      <c r="N51" s="26" t="s">
        <v>25</v>
      </c>
      <c r="O51" s="12" t="s">
        <v>37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90</v>
      </c>
      <c r="B52" s="14" t="s">
        <v>22</v>
      </c>
      <c r="C52" s="9" t="s">
        <v>22</v>
      </c>
      <c r="D52" s="15" t="s">
        <v>35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5" t="s">
        <v>25</v>
      </c>
      <c r="O52" s="17" t="s">
        <v>25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91</v>
      </c>
      <c r="B53" s="9" t="s">
        <v>27</v>
      </c>
      <c r="C53" s="9" t="s">
        <v>27</v>
      </c>
      <c r="D53" s="10" t="s">
        <v>35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26" t="s">
        <v>77</v>
      </c>
      <c r="O53" s="12" t="s">
        <v>20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92</v>
      </c>
      <c r="B54" s="14" t="s">
        <v>12</v>
      </c>
      <c r="C54" s="9" t="s">
        <v>12</v>
      </c>
      <c r="D54" s="15" t="s">
        <v>23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24</v>
      </c>
      <c r="M54" s="15">
        <v>114.25</v>
      </c>
      <c r="N54" s="15" t="s">
        <v>16</v>
      </c>
      <c r="O54" s="17" t="s">
        <v>93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94</v>
      </c>
      <c r="B55" s="9" t="s">
        <v>573</v>
      </c>
      <c r="C55" s="9" t="s">
        <v>573</v>
      </c>
      <c r="D55" s="10" t="s">
        <v>17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15</v>
      </c>
      <c r="M55" s="10">
        <v>20.43</v>
      </c>
      <c r="N55" s="26" t="s">
        <v>25</v>
      </c>
      <c r="O55" s="12" t="s">
        <v>37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95</v>
      </c>
      <c r="B56" s="14" t="s">
        <v>22</v>
      </c>
      <c r="C56" s="9" t="s">
        <v>22</v>
      </c>
      <c r="D56" s="15" t="s">
        <v>35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5" t="s">
        <v>39</v>
      </c>
      <c r="O56" s="17" t="s">
        <v>39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96</v>
      </c>
      <c r="B57" s="9" t="s">
        <v>27</v>
      </c>
      <c r="C57" s="9" t="s">
        <v>27</v>
      </c>
      <c r="D57" s="10" t="s">
        <v>13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26" t="s">
        <v>33</v>
      </c>
      <c r="O57" s="12" t="s">
        <v>33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97</v>
      </c>
      <c r="B58" s="14" t="s">
        <v>12</v>
      </c>
      <c r="C58" s="9" t="s">
        <v>12</v>
      </c>
      <c r="D58" s="15" t="s">
        <v>17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24</v>
      </c>
      <c r="M58" s="15">
        <v>356.81</v>
      </c>
      <c r="N58" s="15" t="s">
        <v>98</v>
      </c>
      <c r="O58" s="17" t="s">
        <v>98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99</v>
      </c>
      <c r="B59" s="9" t="s">
        <v>573</v>
      </c>
      <c r="C59" s="9" t="s">
        <v>573</v>
      </c>
      <c r="D59" s="10" t="s">
        <v>17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26" t="s">
        <v>16</v>
      </c>
      <c r="O59" s="12" t="s">
        <v>93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100</v>
      </c>
      <c r="B60" s="14" t="s">
        <v>22</v>
      </c>
      <c r="C60" s="9" t="s">
        <v>22</v>
      </c>
      <c r="D60" s="15" t="s">
        <v>35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19</v>
      </c>
      <c r="M60" s="15">
        <v>1320.22</v>
      </c>
      <c r="N60" s="15" t="s">
        <v>98</v>
      </c>
      <c r="O60" s="17" t="s">
        <v>61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101</v>
      </c>
      <c r="B61" s="9" t="s">
        <v>27</v>
      </c>
      <c r="C61" s="9" t="s">
        <v>27</v>
      </c>
      <c r="D61" s="10" t="s">
        <v>35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26" t="s">
        <v>16</v>
      </c>
      <c r="O61" s="12" t="s">
        <v>16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102</v>
      </c>
      <c r="B62" s="14" t="s">
        <v>12</v>
      </c>
      <c r="C62" s="9" t="s">
        <v>12</v>
      </c>
      <c r="D62" s="15" t="s">
        <v>35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15" t="s">
        <v>98</v>
      </c>
      <c r="O62" s="17" t="s">
        <v>63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103</v>
      </c>
      <c r="B63" s="9" t="s">
        <v>573</v>
      </c>
      <c r="C63" s="9" t="s">
        <v>573</v>
      </c>
      <c r="D63" s="10" t="s">
        <v>13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24</v>
      </c>
      <c r="M63" s="10">
        <v>54.58</v>
      </c>
      <c r="N63" s="26" t="s">
        <v>33</v>
      </c>
      <c r="O63" s="12" t="s">
        <v>28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104</v>
      </c>
      <c r="B64" s="14" t="s">
        <v>22</v>
      </c>
      <c r="C64" s="9" t="s">
        <v>22</v>
      </c>
      <c r="D64" s="15" t="s">
        <v>17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24</v>
      </c>
      <c r="M64" s="15">
        <v>922.83</v>
      </c>
      <c r="N64" s="15" t="s">
        <v>98</v>
      </c>
      <c r="O64" s="17" t="s">
        <v>98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105</v>
      </c>
      <c r="B65" s="9" t="s">
        <v>27</v>
      </c>
      <c r="C65" s="9" t="s">
        <v>27</v>
      </c>
      <c r="D65" s="10" t="s">
        <v>23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26" t="s">
        <v>98</v>
      </c>
      <c r="O65" s="12" t="s">
        <v>98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106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5" t="s">
        <v>33</v>
      </c>
      <c r="O66" s="17" t="s">
        <v>28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107</v>
      </c>
      <c r="B67" s="9" t="s">
        <v>573</v>
      </c>
      <c r="C67" s="9" t="s">
        <v>573</v>
      </c>
      <c r="D67" s="10" t="s">
        <v>32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15</v>
      </c>
      <c r="M67" s="10">
        <v>757.48</v>
      </c>
      <c r="N67" s="26" t="s">
        <v>39</v>
      </c>
      <c r="O67" s="12" t="s">
        <v>39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108</v>
      </c>
      <c r="B68" s="14" t="s">
        <v>22</v>
      </c>
      <c r="C68" s="9" t="s">
        <v>22</v>
      </c>
      <c r="D68" s="15" t="s">
        <v>35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15" t="s">
        <v>33</v>
      </c>
      <c r="O68" s="17" t="s">
        <v>33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109</v>
      </c>
      <c r="B69" s="9" t="s">
        <v>27</v>
      </c>
      <c r="C69" s="9" t="s">
        <v>27</v>
      </c>
      <c r="D69" s="10" t="s">
        <v>17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26" t="s">
        <v>39</v>
      </c>
      <c r="O69" s="12" t="s">
        <v>66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110</v>
      </c>
      <c r="B70" s="14" t="s">
        <v>12</v>
      </c>
      <c r="C70" s="9" t="s">
        <v>12</v>
      </c>
      <c r="D70" s="15" t="s">
        <v>13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24</v>
      </c>
      <c r="M70" s="15">
        <v>542.05999999999995</v>
      </c>
      <c r="N70" s="15" t="s">
        <v>98</v>
      </c>
      <c r="O70" s="17" t="s">
        <v>98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111</v>
      </c>
      <c r="B71" s="9" t="s">
        <v>573</v>
      </c>
      <c r="C71" s="9" t="s">
        <v>573</v>
      </c>
      <c r="D71" s="10" t="s">
        <v>32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26" t="s">
        <v>33</v>
      </c>
      <c r="O71" s="12" t="s">
        <v>56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112</v>
      </c>
      <c r="B72" s="14" t="s">
        <v>22</v>
      </c>
      <c r="C72" s="9" t="s">
        <v>22</v>
      </c>
      <c r="D72" s="15" t="s">
        <v>13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15" t="s">
        <v>33</v>
      </c>
      <c r="O72" s="17" t="s">
        <v>33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113</v>
      </c>
      <c r="B73" s="9" t="s">
        <v>27</v>
      </c>
      <c r="C73" s="9" t="s">
        <v>27</v>
      </c>
      <c r="D73" s="10" t="s">
        <v>13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26" t="s">
        <v>77</v>
      </c>
      <c r="O73" s="12" t="s">
        <v>77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114</v>
      </c>
      <c r="B74" s="14" t="s">
        <v>12</v>
      </c>
      <c r="C74" s="9" t="s">
        <v>12</v>
      </c>
      <c r="D74" s="15" t="s">
        <v>23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15" t="s">
        <v>98</v>
      </c>
      <c r="O74" s="17" t="s">
        <v>61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115</v>
      </c>
      <c r="B75" s="9" t="s">
        <v>573</v>
      </c>
      <c r="C75" s="9" t="s">
        <v>573</v>
      </c>
      <c r="D75" s="10" t="s">
        <v>23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26" t="s">
        <v>33</v>
      </c>
      <c r="O75" s="12" t="s">
        <v>28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116</v>
      </c>
      <c r="B76" s="14" t="s">
        <v>22</v>
      </c>
      <c r="C76" s="9" t="s">
        <v>22</v>
      </c>
      <c r="D76" s="15" t="s">
        <v>13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19</v>
      </c>
      <c r="M76" s="15">
        <v>163.35</v>
      </c>
      <c r="N76" s="15" t="s">
        <v>16</v>
      </c>
      <c r="O76" s="17" t="s">
        <v>50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117</v>
      </c>
      <c r="B77" s="9" t="s">
        <v>27</v>
      </c>
      <c r="C77" s="9" t="s">
        <v>27</v>
      </c>
      <c r="D77" s="10" t="s">
        <v>32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26" t="s">
        <v>16</v>
      </c>
      <c r="O77" s="12" t="s">
        <v>50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118</v>
      </c>
      <c r="B78" s="14" t="s">
        <v>12</v>
      </c>
      <c r="C78" s="9" t="s">
        <v>12</v>
      </c>
      <c r="D78" s="15" t="s">
        <v>17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15</v>
      </c>
      <c r="M78" s="15">
        <v>1440.78</v>
      </c>
      <c r="N78" s="15" t="s">
        <v>77</v>
      </c>
      <c r="O78" s="17" t="s">
        <v>53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119</v>
      </c>
      <c r="B79" s="9" t="s">
        <v>573</v>
      </c>
      <c r="C79" s="9" t="s">
        <v>573</v>
      </c>
      <c r="D79" s="10" t="s">
        <v>17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15</v>
      </c>
      <c r="M79" s="10">
        <v>336.22</v>
      </c>
      <c r="N79" s="26" t="s">
        <v>16</v>
      </c>
      <c r="O79" s="12" t="s">
        <v>93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120</v>
      </c>
      <c r="B80" s="14" t="s">
        <v>22</v>
      </c>
      <c r="C80" s="9" t="s">
        <v>22</v>
      </c>
      <c r="D80" s="15" t="s">
        <v>35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15</v>
      </c>
      <c r="M80" s="15">
        <v>151.09</v>
      </c>
      <c r="N80" s="15" t="s">
        <v>33</v>
      </c>
      <c r="O80" s="17" t="s">
        <v>28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121</v>
      </c>
      <c r="B81" s="9" t="s">
        <v>27</v>
      </c>
      <c r="C81" s="9" t="s">
        <v>27</v>
      </c>
      <c r="D81" s="10" t="s">
        <v>35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15</v>
      </c>
      <c r="M81" s="10">
        <v>289.32</v>
      </c>
      <c r="N81" s="26" t="s">
        <v>39</v>
      </c>
      <c r="O81" s="12" t="s">
        <v>39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122</v>
      </c>
      <c r="B82" s="14" t="s">
        <v>12</v>
      </c>
      <c r="C82" s="9" t="s">
        <v>12</v>
      </c>
      <c r="D82" s="15" t="s">
        <v>17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15" t="s">
        <v>39</v>
      </c>
      <c r="O82" s="17" t="s">
        <v>39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123</v>
      </c>
      <c r="B83" s="9" t="s">
        <v>573</v>
      </c>
      <c r="C83" s="9" t="s">
        <v>573</v>
      </c>
      <c r="D83" s="10" t="s">
        <v>13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15</v>
      </c>
      <c r="M83" s="10">
        <v>175.75</v>
      </c>
      <c r="N83" s="26" t="s">
        <v>25</v>
      </c>
      <c r="O83" s="12" t="s">
        <v>37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124</v>
      </c>
      <c r="B84" s="14" t="s">
        <v>22</v>
      </c>
      <c r="C84" s="9" t="s">
        <v>22</v>
      </c>
      <c r="D84" s="15" t="s">
        <v>13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15" t="s">
        <v>16</v>
      </c>
      <c r="O84" s="17" t="s">
        <v>93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125</v>
      </c>
      <c r="B85" s="9" t="s">
        <v>27</v>
      </c>
      <c r="C85" s="9" t="s">
        <v>27</v>
      </c>
      <c r="D85" s="10" t="s">
        <v>23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26" t="s">
        <v>33</v>
      </c>
      <c r="O85" s="12" t="s">
        <v>56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126</v>
      </c>
      <c r="B86" s="14" t="s">
        <v>12</v>
      </c>
      <c r="C86" s="9" t="s">
        <v>12</v>
      </c>
      <c r="D86" s="15" t="s">
        <v>23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15</v>
      </c>
      <c r="M86" s="15">
        <v>754.77</v>
      </c>
      <c r="N86" s="15" t="s">
        <v>33</v>
      </c>
      <c r="O86" s="17" t="s">
        <v>56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127</v>
      </c>
      <c r="B87" s="9" t="s">
        <v>573</v>
      </c>
      <c r="C87" s="9" t="s">
        <v>573</v>
      </c>
      <c r="D87" s="10" t="s">
        <v>35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15</v>
      </c>
      <c r="M87" s="10">
        <v>705.01</v>
      </c>
      <c r="N87" s="26" t="s">
        <v>39</v>
      </c>
      <c r="O87" s="12" t="s">
        <v>39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128</v>
      </c>
      <c r="B88" s="14" t="s">
        <v>22</v>
      </c>
      <c r="C88" s="9" t="s">
        <v>22</v>
      </c>
      <c r="D88" s="15" t="s">
        <v>17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15" t="s">
        <v>25</v>
      </c>
      <c r="O88" s="17" t="s">
        <v>25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129</v>
      </c>
      <c r="B89" s="9" t="s">
        <v>27</v>
      </c>
      <c r="C89" s="9" t="s">
        <v>27</v>
      </c>
      <c r="D89" s="10" t="s">
        <v>13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15</v>
      </c>
      <c r="M89" s="10">
        <v>120.84</v>
      </c>
      <c r="N89" s="26" t="s">
        <v>77</v>
      </c>
      <c r="O89" s="12" t="s">
        <v>53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130</v>
      </c>
      <c r="B90" s="14" t="s">
        <v>12</v>
      </c>
      <c r="C90" s="9" t="s">
        <v>12</v>
      </c>
      <c r="D90" s="15" t="s">
        <v>17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15" t="s">
        <v>33</v>
      </c>
      <c r="O90" s="17" t="s">
        <v>33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131</v>
      </c>
      <c r="B91" s="9" t="s">
        <v>573</v>
      </c>
      <c r="C91" s="9" t="s">
        <v>573</v>
      </c>
      <c r="D91" s="10" t="s">
        <v>32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15</v>
      </c>
      <c r="M91" s="10">
        <v>203.17</v>
      </c>
      <c r="N91" s="26" t="s">
        <v>77</v>
      </c>
      <c r="O91" s="12" t="s">
        <v>77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132</v>
      </c>
      <c r="B92" s="14" t="s">
        <v>22</v>
      </c>
      <c r="C92" s="9" t="s">
        <v>22</v>
      </c>
      <c r="D92" s="15" t="s">
        <v>17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15" t="s">
        <v>77</v>
      </c>
      <c r="O92" s="17" t="s">
        <v>53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133</v>
      </c>
      <c r="B93" s="9" t="s">
        <v>27</v>
      </c>
      <c r="C93" s="9" t="s">
        <v>27</v>
      </c>
      <c r="D93" s="10" t="s">
        <v>32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19</v>
      </c>
      <c r="M93" s="10">
        <v>311.67</v>
      </c>
      <c r="N93" s="26" t="s">
        <v>33</v>
      </c>
      <c r="O93" s="12" t="s">
        <v>28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134</v>
      </c>
      <c r="B94" s="14" t="s">
        <v>12</v>
      </c>
      <c r="C94" s="9" t="s">
        <v>12</v>
      </c>
      <c r="D94" s="15" t="s">
        <v>23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19</v>
      </c>
      <c r="M94" s="15">
        <v>469.27</v>
      </c>
      <c r="N94" s="15" t="s">
        <v>33</v>
      </c>
      <c r="O94" s="17" t="s">
        <v>28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135</v>
      </c>
      <c r="B95" s="9" t="s">
        <v>573</v>
      </c>
      <c r="C95" s="9" t="s">
        <v>573</v>
      </c>
      <c r="D95" s="10" t="s">
        <v>23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26" t="s">
        <v>98</v>
      </c>
      <c r="O95" s="12" t="s">
        <v>98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136</v>
      </c>
      <c r="B96" s="14" t="s">
        <v>22</v>
      </c>
      <c r="C96" s="9" t="s">
        <v>22</v>
      </c>
      <c r="D96" s="15" t="s">
        <v>35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15</v>
      </c>
      <c r="M96" s="15">
        <v>241.86</v>
      </c>
      <c r="N96" s="15" t="s">
        <v>33</v>
      </c>
      <c r="O96" s="17" t="s">
        <v>33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137</v>
      </c>
      <c r="B97" s="9" t="s">
        <v>27</v>
      </c>
      <c r="C97" s="9" t="s">
        <v>27</v>
      </c>
      <c r="D97" s="10" t="s">
        <v>17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19</v>
      </c>
      <c r="M97" s="10">
        <v>523.02</v>
      </c>
      <c r="N97" s="26" t="s">
        <v>16</v>
      </c>
      <c r="O97" s="12" t="s">
        <v>93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138</v>
      </c>
      <c r="B98" s="14" t="s">
        <v>12</v>
      </c>
      <c r="C98" s="9" t="s">
        <v>12</v>
      </c>
      <c r="D98" s="15" t="s">
        <v>17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15" t="s">
        <v>39</v>
      </c>
      <c r="O98" s="17" t="s">
        <v>66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139</v>
      </c>
      <c r="B99" s="9" t="s">
        <v>573</v>
      </c>
      <c r="C99" s="9" t="s">
        <v>573</v>
      </c>
      <c r="D99" s="10" t="s">
        <v>32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24</v>
      </c>
      <c r="M99" s="10">
        <v>957.31</v>
      </c>
      <c r="N99" s="26" t="s">
        <v>33</v>
      </c>
      <c r="O99" s="12" t="s">
        <v>56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140</v>
      </c>
      <c r="B100" s="14" t="s">
        <v>22</v>
      </c>
      <c r="C100" s="9" t="s">
        <v>22</v>
      </c>
      <c r="D100" s="15" t="s">
        <v>23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15" t="s">
        <v>98</v>
      </c>
      <c r="O100" s="17" t="s">
        <v>61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141</v>
      </c>
      <c r="B101" s="9" t="s">
        <v>27</v>
      </c>
      <c r="C101" s="9" t="s">
        <v>27</v>
      </c>
      <c r="D101" s="10" t="s">
        <v>32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26" t="s">
        <v>25</v>
      </c>
      <c r="O101" s="12" t="s">
        <v>46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142</v>
      </c>
      <c r="B102" s="14" t="s">
        <v>12</v>
      </c>
      <c r="C102" s="9" t="s">
        <v>12</v>
      </c>
      <c r="D102" s="15" t="s">
        <v>23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15" t="s">
        <v>33</v>
      </c>
      <c r="O102" s="17" t="s">
        <v>28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143</v>
      </c>
      <c r="B103" s="9" t="s">
        <v>573</v>
      </c>
      <c r="C103" s="9" t="s">
        <v>573</v>
      </c>
      <c r="D103" s="10" t="s">
        <v>32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19</v>
      </c>
      <c r="M103" s="10">
        <v>1077.1099999999999</v>
      </c>
      <c r="N103" s="26" t="s">
        <v>39</v>
      </c>
      <c r="O103" s="12" t="s">
        <v>39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144</v>
      </c>
      <c r="B104" s="14" t="s">
        <v>22</v>
      </c>
      <c r="C104" s="9" t="s">
        <v>22</v>
      </c>
      <c r="D104" s="15" t="s">
        <v>23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15" t="s">
        <v>77</v>
      </c>
      <c r="O104" s="17" t="s">
        <v>20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145</v>
      </c>
      <c r="B105" s="9" t="s">
        <v>27</v>
      </c>
      <c r="C105" s="9" t="s">
        <v>27</v>
      </c>
      <c r="D105" s="10" t="s">
        <v>32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24</v>
      </c>
      <c r="M105" s="10">
        <v>777.62</v>
      </c>
      <c r="N105" s="26" t="s">
        <v>77</v>
      </c>
      <c r="O105" s="12" t="s">
        <v>20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146</v>
      </c>
      <c r="B106" s="14" t="s">
        <v>12</v>
      </c>
      <c r="C106" s="9" t="s">
        <v>12</v>
      </c>
      <c r="D106" s="15" t="s">
        <v>23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15</v>
      </c>
      <c r="M106" s="15">
        <v>483.88</v>
      </c>
      <c r="N106" s="15" t="s">
        <v>16</v>
      </c>
      <c r="O106" s="17" t="s">
        <v>93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147</v>
      </c>
      <c r="B107" s="9" t="s">
        <v>573</v>
      </c>
      <c r="C107" s="9" t="s">
        <v>573</v>
      </c>
      <c r="D107" s="10" t="s">
        <v>32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19</v>
      </c>
      <c r="M107" s="10">
        <v>587.57000000000005</v>
      </c>
      <c r="N107" s="26" t="s">
        <v>77</v>
      </c>
      <c r="O107" s="12" t="s">
        <v>53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148</v>
      </c>
      <c r="B108" s="14" t="s">
        <v>22</v>
      </c>
      <c r="C108" s="9" t="s">
        <v>22</v>
      </c>
      <c r="D108" s="15" t="s">
        <v>17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15" t="s">
        <v>33</v>
      </c>
      <c r="O108" s="17" t="s">
        <v>56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149</v>
      </c>
      <c r="B109" s="9" t="s">
        <v>27</v>
      </c>
      <c r="C109" s="9" t="s">
        <v>27</v>
      </c>
      <c r="D109" s="10" t="s">
        <v>35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19</v>
      </c>
      <c r="M109" s="10">
        <v>1047.8699999999999</v>
      </c>
      <c r="N109" s="26" t="s">
        <v>77</v>
      </c>
      <c r="O109" s="12" t="s">
        <v>77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150</v>
      </c>
      <c r="B110" s="14" t="s">
        <v>12</v>
      </c>
      <c r="C110" s="9" t="s">
        <v>12</v>
      </c>
      <c r="D110" s="15" t="s">
        <v>32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15" t="s">
        <v>16</v>
      </c>
      <c r="O110" s="17" t="s">
        <v>50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151</v>
      </c>
      <c r="B111" s="9" t="s">
        <v>573</v>
      </c>
      <c r="C111" s="9" t="s">
        <v>573</v>
      </c>
      <c r="D111" s="10" t="s">
        <v>35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26" t="s">
        <v>25</v>
      </c>
      <c r="O111" s="12" t="s">
        <v>37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152</v>
      </c>
      <c r="B112" s="14" t="s">
        <v>22</v>
      </c>
      <c r="C112" s="9" t="s">
        <v>22</v>
      </c>
      <c r="D112" s="15" t="s">
        <v>17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19</v>
      </c>
      <c r="M112" s="15">
        <v>1168.31</v>
      </c>
      <c r="N112" s="15" t="s">
        <v>98</v>
      </c>
      <c r="O112" s="17" t="s">
        <v>61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153</v>
      </c>
      <c r="B113" s="9" t="s">
        <v>27</v>
      </c>
      <c r="C113" s="9" t="s">
        <v>27</v>
      </c>
      <c r="D113" s="10" t="s">
        <v>17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19</v>
      </c>
      <c r="M113" s="10">
        <v>71.8</v>
      </c>
      <c r="N113" s="26" t="s">
        <v>39</v>
      </c>
      <c r="O113" s="12" t="s">
        <v>66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154</v>
      </c>
      <c r="B114" s="14" t="s">
        <v>12</v>
      </c>
      <c r="C114" s="9" t="s">
        <v>12</v>
      </c>
      <c r="D114" s="15" t="s">
        <v>23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19</v>
      </c>
      <c r="M114" s="15">
        <v>546.45000000000005</v>
      </c>
      <c r="N114" s="15" t="s">
        <v>33</v>
      </c>
      <c r="O114" s="17" t="s">
        <v>56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155</v>
      </c>
      <c r="B115" s="9" t="s">
        <v>573</v>
      </c>
      <c r="C115" s="9" t="s">
        <v>573</v>
      </c>
      <c r="D115" s="10" t="s">
        <v>35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26" t="s">
        <v>33</v>
      </c>
      <c r="O115" s="12" t="s">
        <v>56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156</v>
      </c>
      <c r="B116" s="14" t="s">
        <v>22</v>
      </c>
      <c r="C116" s="9" t="s">
        <v>22</v>
      </c>
      <c r="D116" s="15" t="s">
        <v>13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19</v>
      </c>
      <c r="M116" s="15">
        <v>153.62</v>
      </c>
      <c r="N116" s="15" t="s">
        <v>98</v>
      </c>
      <c r="O116" s="17" t="s">
        <v>63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157</v>
      </c>
      <c r="B117" s="9" t="s">
        <v>27</v>
      </c>
      <c r="C117" s="9" t="s">
        <v>27</v>
      </c>
      <c r="D117" s="10" t="s">
        <v>23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26" t="s">
        <v>77</v>
      </c>
      <c r="O117" s="12" t="s">
        <v>20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158</v>
      </c>
      <c r="B118" s="14" t="s">
        <v>12</v>
      </c>
      <c r="C118" s="9" t="s">
        <v>12</v>
      </c>
      <c r="D118" s="15" t="s">
        <v>35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24</v>
      </c>
      <c r="M118" s="15">
        <v>817.55</v>
      </c>
      <c r="N118" s="15" t="s">
        <v>16</v>
      </c>
      <c r="O118" s="17" t="s">
        <v>93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159</v>
      </c>
      <c r="B119" s="9" t="s">
        <v>573</v>
      </c>
      <c r="C119" s="9" t="s">
        <v>573</v>
      </c>
      <c r="D119" s="10" t="s">
        <v>32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26" t="s">
        <v>16</v>
      </c>
      <c r="O119" s="12" t="s">
        <v>16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160</v>
      </c>
      <c r="B120" s="14" t="s">
        <v>22</v>
      </c>
      <c r="C120" s="9" t="s">
        <v>22</v>
      </c>
      <c r="D120" s="15" t="s">
        <v>32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15" t="s">
        <v>39</v>
      </c>
      <c r="O120" s="17" t="s">
        <v>66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161</v>
      </c>
      <c r="B121" s="9" t="s">
        <v>27</v>
      </c>
      <c r="C121" s="9" t="s">
        <v>27</v>
      </c>
      <c r="D121" s="10" t="s">
        <v>17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26" t="s">
        <v>77</v>
      </c>
      <c r="O121" s="12" t="s">
        <v>77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162</v>
      </c>
      <c r="B122" s="14" t="s">
        <v>12</v>
      </c>
      <c r="C122" s="9" t="s">
        <v>12</v>
      </c>
      <c r="D122" s="15" t="s">
        <v>13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15</v>
      </c>
      <c r="M122" s="15">
        <v>558.65</v>
      </c>
      <c r="N122" s="15" t="s">
        <v>16</v>
      </c>
      <c r="O122" s="17" t="s">
        <v>50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163</v>
      </c>
      <c r="B123" s="9" t="s">
        <v>573</v>
      </c>
      <c r="C123" s="9" t="s">
        <v>573</v>
      </c>
      <c r="D123" s="10" t="s">
        <v>32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26" t="s">
        <v>77</v>
      </c>
      <c r="O123" s="12" t="s">
        <v>77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164</v>
      </c>
      <c r="B124" s="14" t="s">
        <v>22</v>
      </c>
      <c r="C124" s="9" t="s">
        <v>22</v>
      </c>
      <c r="D124" s="15" t="s">
        <v>35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24</v>
      </c>
      <c r="M124" s="15">
        <v>1045.7</v>
      </c>
      <c r="N124" s="15" t="s">
        <v>25</v>
      </c>
      <c r="O124" s="17" t="s">
        <v>25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165</v>
      </c>
      <c r="B125" s="9" t="s">
        <v>27</v>
      </c>
      <c r="C125" s="9" t="s">
        <v>27</v>
      </c>
      <c r="D125" s="10" t="s">
        <v>35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24</v>
      </c>
      <c r="M125" s="10">
        <v>179.78</v>
      </c>
      <c r="N125" s="26" t="s">
        <v>33</v>
      </c>
      <c r="O125" s="12" t="s">
        <v>33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166</v>
      </c>
      <c r="B126" s="14" t="s">
        <v>12</v>
      </c>
      <c r="C126" s="9" t="s">
        <v>12</v>
      </c>
      <c r="D126" s="15" t="s">
        <v>32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15</v>
      </c>
      <c r="M126" s="15">
        <v>789.67</v>
      </c>
      <c r="N126" s="15" t="s">
        <v>33</v>
      </c>
      <c r="O126" s="17" t="s">
        <v>28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167</v>
      </c>
      <c r="B127" s="9" t="s">
        <v>573</v>
      </c>
      <c r="C127" s="9" t="s">
        <v>573</v>
      </c>
      <c r="D127" s="10" t="s">
        <v>35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24</v>
      </c>
      <c r="M127" s="10">
        <v>296.98</v>
      </c>
      <c r="N127" s="26" t="s">
        <v>39</v>
      </c>
      <c r="O127" s="12" t="s">
        <v>66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168</v>
      </c>
      <c r="B128" s="14" t="s">
        <v>22</v>
      </c>
      <c r="C128" s="9" t="s">
        <v>22</v>
      </c>
      <c r="D128" s="15" t="s">
        <v>35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15" t="s">
        <v>77</v>
      </c>
      <c r="O128" s="17" t="s">
        <v>20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169</v>
      </c>
      <c r="B129" s="9" t="s">
        <v>27</v>
      </c>
      <c r="C129" s="9" t="s">
        <v>27</v>
      </c>
      <c r="D129" s="10" t="s">
        <v>17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26" t="s">
        <v>25</v>
      </c>
      <c r="O129" s="12" t="s">
        <v>25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170</v>
      </c>
      <c r="B130" s="14" t="s">
        <v>12</v>
      </c>
      <c r="C130" s="9" t="s">
        <v>12</v>
      </c>
      <c r="D130" s="15" t="s">
        <v>13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19</v>
      </c>
      <c r="M130" s="15">
        <v>197.42</v>
      </c>
      <c r="N130" s="15" t="s">
        <v>25</v>
      </c>
      <c r="O130" s="17" t="s">
        <v>37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171</v>
      </c>
      <c r="B131" s="9" t="s">
        <v>573</v>
      </c>
      <c r="C131" s="9" t="s">
        <v>573</v>
      </c>
      <c r="D131" s="10" t="s">
        <v>17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15</v>
      </c>
      <c r="M131" s="10">
        <v>293.39999999999998</v>
      </c>
      <c r="N131" s="26" t="s">
        <v>16</v>
      </c>
      <c r="O131" s="12" t="s">
        <v>16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172</v>
      </c>
      <c r="B132" s="14" t="s">
        <v>22</v>
      </c>
      <c r="C132" s="9" t="s">
        <v>22</v>
      </c>
      <c r="D132" s="15" t="s">
        <v>13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19</v>
      </c>
      <c r="M132" s="15">
        <v>602.37</v>
      </c>
      <c r="N132" s="15" t="s">
        <v>33</v>
      </c>
      <c r="O132" s="17" t="s">
        <v>33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173</v>
      </c>
      <c r="B133" s="9" t="s">
        <v>27</v>
      </c>
      <c r="C133" s="9" t="s">
        <v>27</v>
      </c>
      <c r="D133" s="10" t="s">
        <v>35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24</v>
      </c>
      <c r="M133" s="10">
        <v>715.56</v>
      </c>
      <c r="N133" s="26" t="s">
        <v>39</v>
      </c>
      <c r="O133" s="12" t="s">
        <v>66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174</v>
      </c>
      <c r="B134" s="14" t="s">
        <v>12</v>
      </c>
      <c r="C134" s="9" t="s">
        <v>12</v>
      </c>
      <c r="D134" s="15" t="s">
        <v>13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19</v>
      </c>
      <c r="M134" s="15">
        <v>265.5</v>
      </c>
      <c r="N134" s="15" t="s">
        <v>16</v>
      </c>
      <c r="O134" s="17" t="s">
        <v>50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175</v>
      </c>
      <c r="B135" s="9" t="s">
        <v>573</v>
      </c>
      <c r="C135" s="9" t="s">
        <v>573</v>
      </c>
      <c r="D135" s="10" t="s">
        <v>35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26" t="s">
        <v>16</v>
      </c>
      <c r="O135" s="12" t="s">
        <v>93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176</v>
      </c>
      <c r="B136" s="14" t="s">
        <v>22</v>
      </c>
      <c r="C136" s="9" t="s">
        <v>22</v>
      </c>
      <c r="D136" s="15" t="s">
        <v>35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15" t="s">
        <v>39</v>
      </c>
      <c r="O136" s="17" t="s">
        <v>42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177</v>
      </c>
      <c r="B137" s="9" t="s">
        <v>27</v>
      </c>
      <c r="C137" s="9" t="s">
        <v>27</v>
      </c>
      <c r="D137" s="10" t="s">
        <v>17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26" t="s">
        <v>39</v>
      </c>
      <c r="O137" s="12" t="s">
        <v>42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178</v>
      </c>
      <c r="B138" s="14" t="s">
        <v>12</v>
      </c>
      <c r="C138" s="9" t="s">
        <v>12</v>
      </c>
      <c r="D138" s="15" t="s">
        <v>17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15</v>
      </c>
      <c r="M138" s="15">
        <v>428.41</v>
      </c>
      <c r="N138" s="15" t="s">
        <v>25</v>
      </c>
      <c r="O138" s="17" t="s">
        <v>37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179</v>
      </c>
      <c r="B139" s="9" t="s">
        <v>573</v>
      </c>
      <c r="C139" s="9" t="s">
        <v>573</v>
      </c>
      <c r="D139" s="10" t="s">
        <v>23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24</v>
      </c>
      <c r="M139" s="10">
        <v>497.78</v>
      </c>
      <c r="N139" s="26" t="s">
        <v>25</v>
      </c>
      <c r="O139" s="12" t="s">
        <v>37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180</v>
      </c>
      <c r="B140" s="14" t="s">
        <v>22</v>
      </c>
      <c r="C140" s="9" t="s">
        <v>22</v>
      </c>
      <c r="D140" s="15" t="s">
        <v>32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5" t="s">
        <v>25</v>
      </c>
      <c r="O140" s="17" t="s">
        <v>37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181</v>
      </c>
      <c r="B141" s="9" t="s">
        <v>27</v>
      </c>
      <c r="C141" s="9" t="s">
        <v>27</v>
      </c>
      <c r="D141" s="10" t="s">
        <v>23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24</v>
      </c>
      <c r="M141" s="10">
        <v>466.35</v>
      </c>
      <c r="N141" s="26" t="s">
        <v>16</v>
      </c>
      <c r="O141" s="12" t="s">
        <v>50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182</v>
      </c>
      <c r="B142" s="14" t="s">
        <v>12</v>
      </c>
      <c r="C142" s="9" t="s">
        <v>12</v>
      </c>
      <c r="D142" s="15" t="s">
        <v>23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24</v>
      </c>
      <c r="M142" s="15">
        <v>44.61</v>
      </c>
      <c r="N142" s="15" t="s">
        <v>98</v>
      </c>
      <c r="O142" s="17" t="s">
        <v>63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183</v>
      </c>
      <c r="B143" s="9" t="s">
        <v>573</v>
      </c>
      <c r="C143" s="9" t="s">
        <v>573</v>
      </c>
      <c r="D143" s="10" t="s">
        <v>13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26" t="s">
        <v>39</v>
      </c>
      <c r="O143" s="12" t="s">
        <v>66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184</v>
      </c>
      <c r="B144" s="14" t="s">
        <v>22</v>
      </c>
      <c r="C144" s="9" t="s">
        <v>22</v>
      </c>
      <c r="D144" s="15" t="s">
        <v>35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15" t="s">
        <v>98</v>
      </c>
      <c r="O144" s="17" t="s">
        <v>98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185</v>
      </c>
      <c r="B145" s="9" t="s">
        <v>27</v>
      </c>
      <c r="C145" s="9" t="s">
        <v>27</v>
      </c>
      <c r="D145" s="10" t="s">
        <v>35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15</v>
      </c>
      <c r="M145" s="10">
        <v>46.23</v>
      </c>
      <c r="N145" s="26" t="s">
        <v>25</v>
      </c>
      <c r="O145" s="12" t="s">
        <v>25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186</v>
      </c>
      <c r="B146" s="14" t="s">
        <v>12</v>
      </c>
      <c r="C146" s="9" t="s">
        <v>12</v>
      </c>
      <c r="D146" s="15" t="s">
        <v>35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15" t="s">
        <v>25</v>
      </c>
      <c r="O146" s="17" t="s">
        <v>37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187</v>
      </c>
      <c r="B147" s="9" t="s">
        <v>573</v>
      </c>
      <c r="C147" s="9" t="s">
        <v>573</v>
      </c>
      <c r="D147" s="10" t="s">
        <v>32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24</v>
      </c>
      <c r="M147" s="10">
        <v>1201.33</v>
      </c>
      <c r="N147" s="26" t="s">
        <v>25</v>
      </c>
      <c r="O147" s="12" t="s">
        <v>25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188</v>
      </c>
      <c r="B148" s="14" t="s">
        <v>22</v>
      </c>
      <c r="C148" s="9" t="s">
        <v>22</v>
      </c>
      <c r="D148" s="15" t="s">
        <v>13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15" t="s">
        <v>25</v>
      </c>
      <c r="O148" s="17" t="s">
        <v>46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189</v>
      </c>
      <c r="B149" s="9" t="s">
        <v>27</v>
      </c>
      <c r="C149" s="9" t="s">
        <v>27</v>
      </c>
      <c r="D149" s="10" t="s">
        <v>13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24</v>
      </c>
      <c r="M149" s="10">
        <v>248.9</v>
      </c>
      <c r="N149" s="26" t="s">
        <v>16</v>
      </c>
      <c r="O149" s="12" t="s">
        <v>16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190</v>
      </c>
      <c r="B150" s="14" t="s">
        <v>12</v>
      </c>
      <c r="C150" s="9" t="s">
        <v>12</v>
      </c>
      <c r="D150" s="15" t="s">
        <v>35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15" t="s">
        <v>39</v>
      </c>
      <c r="O150" s="17" t="s">
        <v>42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191</v>
      </c>
      <c r="B151" s="9" t="s">
        <v>573</v>
      </c>
      <c r="C151" s="9" t="s">
        <v>573</v>
      </c>
      <c r="D151" s="10" t="s">
        <v>23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26" t="s">
        <v>25</v>
      </c>
      <c r="O151" s="12" t="s">
        <v>25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192</v>
      </c>
      <c r="B152" s="14" t="s">
        <v>22</v>
      </c>
      <c r="C152" s="9" t="s">
        <v>22</v>
      </c>
      <c r="D152" s="15" t="s">
        <v>32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15" t="s">
        <v>16</v>
      </c>
      <c r="O152" s="17" t="s">
        <v>93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193</v>
      </c>
      <c r="B153" s="9" t="s">
        <v>27</v>
      </c>
      <c r="C153" s="9" t="s">
        <v>27</v>
      </c>
      <c r="D153" s="10" t="s">
        <v>23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19</v>
      </c>
      <c r="M153" s="10">
        <v>617.32000000000005</v>
      </c>
      <c r="N153" s="26" t="s">
        <v>39</v>
      </c>
      <c r="O153" s="12" t="s">
        <v>66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194</v>
      </c>
      <c r="B154" s="14" t="s">
        <v>12</v>
      </c>
      <c r="C154" s="9" t="s">
        <v>12</v>
      </c>
      <c r="D154" s="15" t="s">
        <v>17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15</v>
      </c>
      <c r="M154" s="15">
        <v>253.65</v>
      </c>
      <c r="N154" s="15" t="s">
        <v>39</v>
      </c>
      <c r="O154" s="17" t="s">
        <v>42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195</v>
      </c>
      <c r="B155" s="9" t="s">
        <v>573</v>
      </c>
      <c r="C155" s="9" t="s">
        <v>573</v>
      </c>
      <c r="D155" s="10" t="s">
        <v>13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15</v>
      </c>
      <c r="M155" s="10">
        <v>742.76</v>
      </c>
      <c r="N155" s="26" t="s">
        <v>16</v>
      </c>
      <c r="O155" s="12" t="s">
        <v>50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196</v>
      </c>
      <c r="B156" s="14" t="s">
        <v>22</v>
      </c>
      <c r="C156" s="9" t="s">
        <v>22</v>
      </c>
      <c r="D156" s="15" t="s">
        <v>13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15</v>
      </c>
      <c r="M156" s="15">
        <v>182.68</v>
      </c>
      <c r="N156" s="15" t="s">
        <v>16</v>
      </c>
      <c r="O156" s="17" t="s">
        <v>93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197</v>
      </c>
      <c r="B157" s="9" t="s">
        <v>27</v>
      </c>
      <c r="C157" s="9" t="s">
        <v>27</v>
      </c>
      <c r="D157" s="10" t="s">
        <v>23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24</v>
      </c>
      <c r="M157" s="10">
        <v>735.37</v>
      </c>
      <c r="N157" s="26" t="s">
        <v>77</v>
      </c>
      <c r="O157" s="12" t="s">
        <v>20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198</v>
      </c>
      <c r="B158" s="14" t="s">
        <v>12</v>
      </c>
      <c r="C158" s="9" t="s">
        <v>12</v>
      </c>
      <c r="D158" s="15" t="s">
        <v>32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5" t="s">
        <v>39</v>
      </c>
      <c r="O158" s="17" t="s">
        <v>42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199</v>
      </c>
      <c r="B159" s="9" t="s">
        <v>573</v>
      </c>
      <c r="C159" s="9" t="s">
        <v>573</v>
      </c>
      <c r="D159" s="10" t="s">
        <v>13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26" t="s">
        <v>77</v>
      </c>
      <c r="O159" s="12" t="s">
        <v>53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200</v>
      </c>
      <c r="B160" s="14" t="s">
        <v>22</v>
      </c>
      <c r="C160" s="9" t="s">
        <v>22</v>
      </c>
      <c r="D160" s="15" t="s">
        <v>23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5" t="s">
        <v>77</v>
      </c>
      <c r="O160" s="17" t="s">
        <v>53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201</v>
      </c>
      <c r="B161" s="9" t="s">
        <v>27</v>
      </c>
      <c r="C161" s="9" t="s">
        <v>27</v>
      </c>
      <c r="D161" s="10" t="s">
        <v>32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26" t="s">
        <v>25</v>
      </c>
      <c r="O161" s="12" t="s">
        <v>46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202</v>
      </c>
      <c r="B162" s="14" t="s">
        <v>12</v>
      </c>
      <c r="C162" s="9" t="s">
        <v>12</v>
      </c>
      <c r="D162" s="15" t="s">
        <v>23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15" t="s">
        <v>33</v>
      </c>
      <c r="O162" s="17" t="s">
        <v>33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203</v>
      </c>
      <c r="B163" s="9" t="s">
        <v>573</v>
      </c>
      <c r="C163" s="9" t="s">
        <v>573</v>
      </c>
      <c r="D163" s="10" t="s">
        <v>32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26" t="s">
        <v>33</v>
      </c>
      <c r="O163" s="12" t="s">
        <v>56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204</v>
      </c>
      <c r="B164" s="14" t="s">
        <v>22</v>
      </c>
      <c r="C164" s="9" t="s">
        <v>22</v>
      </c>
      <c r="D164" s="15" t="s">
        <v>35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15</v>
      </c>
      <c r="M164" s="15">
        <v>579.12</v>
      </c>
      <c r="N164" s="15" t="s">
        <v>39</v>
      </c>
      <c r="O164" s="17" t="s">
        <v>39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205</v>
      </c>
      <c r="B165" s="9" t="s">
        <v>27</v>
      </c>
      <c r="C165" s="9" t="s">
        <v>27</v>
      </c>
      <c r="D165" s="10" t="s">
        <v>32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26" t="s">
        <v>33</v>
      </c>
      <c r="O165" s="12" t="s">
        <v>33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206</v>
      </c>
      <c r="B166" s="14" t="s">
        <v>12</v>
      </c>
      <c r="C166" s="9" t="s">
        <v>12</v>
      </c>
      <c r="D166" s="15" t="s">
        <v>17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15" t="s">
        <v>98</v>
      </c>
      <c r="O166" s="17" t="s">
        <v>61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207</v>
      </c>
      <c r="B167" s="9" t="s">
        <v>573</v>
      </c>
      <c r="C167" s="9" t="s">
        <v>573</v>
      </c>
      <c r="D167" s="10" t="s">
        <v>35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26" t="s">
        <v>39</v>
      </c>
      <c r="O167" s="12" t="s">
        <v>39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208</v>
      </c>
      <c r="B168" s="14" t="s">
        <v>22</v>
      </c>
      <c r="C168" s="9" t="s">
        <v>22</v>
      </c>
      <c r="D168" s="15" t="s">
        <v>23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15</v>
      </c>
      <c r="M168" s="15">
        <v>332.86</v>
      </c>
      <c r="N168" s="15" t="s">
        <v>77</v>
      </c>
      <c r="O168" s="17" t="s">
        <v>53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209</v>
      </c>
      <c r="B169" s="9" t="s">
        <v>27</v>
      </c>
      <c r="C169" s="9" t="s">
        <v>27</v>
      </c>
      <c r="D169" s="10" t="s">
        <v>35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24</v>
      </c>
      <c r="M169" s="10">
        <v>418.96</v>
      </c>
      <c r="N169" s="26" t="s">
        <v>39</v>
      </c>
      <c r="O169" s="12" t="s">
        <v>39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210</v>
      </c>
      <c r="B170" s="14" t="s">
        <v>12</v>
      </c>
      <c r="C170" s="9" t="s">
        <v>12</v>
      </c>
      <c r="D170" s="15" t="s">
        <v>35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15</v>
      </c>
      <c r="M170" s="15">
        <v>458.18</v>
      </c>
      <c r="N170" s="15" t="s">
        <v>77</v>
      </c>
      <c r="O170" s="17" t="s">
        <v>53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211</v>
      </c>
      <c r="B171" s="9" t="s">
        <v>573</v>
      </c>
      <c r="C171" s="9" t="s">
        <v>573</v>
      </c>
      <c r="D171" s="10" t="s">
        <v>23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15</v>
      </c>
      <c r="M171" s="10">
        <v>522.95000000000005</v>
      </c>
      <c r="N171" s="26" t="s">
        <v>77</v>
      </c>
      <c r="O171" s="12" t="s">
        <v>20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212</v>
      </c>
      <c r="B172" s="14" t="s">
        <v>22</v>
      </c>
      <c r="C172" s="9" t="s">
        <v>22</v>
      </c>
      <c r="D172" s="15" t="s">
        <v>23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5" t="s">
        <v>39</v>
      </c>
      <c r="O172" s="17" t="s">
        <v>42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213</v>
      </c>
      <c r="B173" s="9" t="s">
        <v>27</v>
      </c>
      <c r="C173" s="9" t="s">
        <v>27</v>
      </c>
      <c r="D173" s="10" t="s">
        <v>17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26" t="s">
        <v>25</v>
      </c>
      <c r="O173" s="12" t="s">
        <v>37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214</v>
      </c>
      <c r="B174" s="14" t="s">
        <v>12</v>
      </c>
      <c r="C174" s="9" t="s">
        <v>12</v>
      </c>
      <c r="D174" s="15" t="s">
        <v>23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15</v>
      </c>
      <c r="M174" s="15">
        <v>729.42</v>
      </c>
      <c r="N174" s="15" t="s">
        <v>16</v>
      </c>
      <c r="O174" s="17" t="s">
        <v>16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215</v>
      </c>
      <c r="B175" s="9" t="s">
        <v>573</v>
      </c>
      <c r="C175" s="9" t="s">
        <v>573</v>
      </c>
      <c r="D175" s="10" t="s">
        <v>13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15</v>
      </c>
      <c r="M175" s="10">
        <v>253.73</v>
      </c>
      <c r="N175" s="26" t="s">
        <v>33</v>
      </c>
      <c r="O175" s="12" t="s">
        <v>33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216</v>
      </c>
      <c r="B176" s="14" t="s">
        <v>22</v>
      </c>
      <c r="C176" s="9" t="s">
        <v>22</v>
      </c>
      <c r="D176" s="15" t="s">
        <v>13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15</v>
      </c>
      <c r="M176" s="15">
        <v>941.87</v>
      </c>
      <c r="N176" s="15" t="s">
        <v>98</v>
      </c>
      <c r="O176" s="17" t="s">
        <v>61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217</v>
      </c>
      <c r="B177" s="9" t="s">
        <v>27</v>
      </c>
      <c r="C177" s="9" t="s">
        <v>27</v>
      </c>
      <c r="D177" s="10" t="s">
        <v>17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15</v>
      </c>
      <c r="M177" s="10">
        <v>671.84</v>
      </c>
      <c r="N177" s="26" t="s">
        <v>33</v>
      </c>
      <c r="O177" s="12" t="s">
        <v>56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218</v>
      </c>
      <c r="B178" s="14" t="s">
        <v>12</v>
      </c>
      <c r="C178" s="9" t="s">
        <v>12</v>
      </c>
      <c r="D178" s="15" t="s">
        <v>32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15</v>
      </c>
      <c r="M178" s="15">
        <v>814</v>
      </c>
      <c r="N178" s="15" t="s">
        <v>39</v>
      </c>
      <c r="O178" s="17" t="s">
        <v>39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219</v>
      </c>
      <c r="B179" s="9" t="s">
        <v>573</v>
      </c>
      <c r="C179" s="9" t="s">
        <v>573</v>
      </c>
      <c r="D179" s="10" t="s">
        <v>32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19</v>
      </c>
      <c r="M179" s="10">
        <v>66.459999999999994</v>
      </c>
      <c r="N179" s="26" t="s">
        <v>25</v>
      </c>
      <c r="O179" s="12" t="s">
        <v>37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220</v>
      </c>
      <c r="B180" s="14" t="s">
        <v>22</v>
      </c>
      <c r="C180" s="9" t="s">
        <v>22</v>
      </c>
      <c r="D180" s="15" t="s">
        <v>13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15</v>
      </c>
      <c r="M180" s="15">
        <v>479.33</v>
      </c>
      <c r="N180" s="15" t="s">
        <v>25</v>
      </c>
      <c r="O180" s="17" t="s">
        <v>25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221</v>
      </c>
      <c r="B181" s="9" t="s">
        <v>27</v>
      </c>
      <c r="C181" s="9" t="s">
        <v>27</v>
      </c>
      <c r="D181" s="10" t="s">
        <v>23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26" t="s">
        <v>16</v>
      </c>
      <c r="O181" s="12" t="s">
        <v>93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222</v>
      </c>
      <c r="B182" s="14" t="s">
        <v>12</v>
      </c>
      <c r="C182" s="9" t="s">
        <v>12</v>
      </c>
      <c r="D182" s="15" t="s">
        <v>17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15" t="s">
        <v>98</v>
      </c>
      <c r="O182" s="17" t="s">
        <v>63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223</v>
      </c>
      <c r="B183" s="9" t="s">
        <v>573</v>
      </c>
      <c r="C183" s="9" t="s">
        <v>573</v>
      </c>
      <c r="D183" s="10" t="s">
        <v>32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15</v>
      </c>
      <c r="M183" s="10">
        <v>235.73</v>
      </c>
      <c r="N183" s="26" t="s">
        <v>39</v>
      </c>
      <c r="O183" s="12" t="s">
        <v>42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224</v>
      </c>
      <c r="B184" s="14" t="s">
        <v>22</v>
      </c>
      <c r="C184" s="9" t="s">
        <v>22</v>
      </c>
      <c r="D184" s="15" t="s">
        <v>32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15</v>
      </c>
      <c r="M184" s="15">
        <v>350.59</v>
      </c>
      <c r="N184" s="15" t="s">
        <v>16</v>
      </c>
      <c r="O184" s="17" t="s">
        <v>50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225</v>
      </c>
      <c r="B185" s="9" t="s">
        <v>27</v>
      </c>
      <c r="C185" s="9" t="s">
        <v>27</v>
      </c>
      <c r="D185" s="10" t="s">
        <v>35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26" t="s">
        <v>98</v>
      </c>
      <c r="O185" s="12" t="s">
        <v>63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226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5" t="s">
        <v>33</v>
      </c>
      <c r="O186" s="17" t="s">
        <v>56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227</v>
      </c>
      <c r="B187" s="9" t="s">
        <v>573</v>
      </c>
      <c r="C187" s="9" t="s">
        <v>573</v>
      </c>
      <c r="D187" s="10" t="s">
        <v>23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15</v>
      </c>
      <c r="M187" s="10">
        <v>393.92</v>
      </c>
      <c r="N187" s="26" t="s">
        <v>25</v>
      </c>
      <c r="O187" s="12" t="s">
        <v>46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228</v>
      </c>
      <c r="B188" s="14" t="s">
        <v>22</v>
      </c>
      <c r="C188" s="9" t="s">
        <v>22</v>
      </c>
      <c r="D188" s="15" t="s">
        <v>17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24</v>
      </c>
      <c r="M188" s="15">
        <v>112.67</v>
      </c>
      <c r="N188" s="15" t="s">
        <v>98</v>
      </c>
      <c r="O188" s="17" t="s">
        <v>61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229</v>
      </c>
      <c r="B189" s="9" t="s">
        <v>27</v>
      </c>
      <c r="C189" s="9" t="s">
        <v>27</v>
      </c>
      <c r="D189" s="10" t="s">
        <v>32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15</v>
      </c>
      <c r="M189" s="10">
        <v>27.01</v>
      </c>
      <c r="N189" s="26" t="s">
        <v>98</v>
      </c>
      <c r="O189" s="12" t="s">
        <v>63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230</v>
      </c>
      <c r="B190" s="14" t="s">
        <v>12</v>
      </c>
      <c r="C190" s="9" t="s">
        <v>12</v>
      </c>
      <c r="D190" s="15" t="s">
        <v>35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5" t="s">
        <v>25</v>
      </c>
      <c r="O190" s="17" t="s">
        <v>25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231</v>
      </c>
      <c r="B191" s="9" t="s">
        <v>573</v>
      </c>
      <c r="C191" s="9" t="s">
        <v>573</v>
      </c>
      <c r="D191" s="10" t="s">
        <v>13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15</v>
      </c>
      <c r="M191" s="10">
        <v>101.89</v>
      </c>
      <c r="N191" s="26" t="s">
        <v>33</v>
      </c>
      <c r="O191" s="12" t="s">
        <v>56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232</v>
      </c>
      <c r="B192" s="14" t="s">
        <v>22</v>
      </c>
      <c r="C192" s="9" t="s">
        <v>22</v>
      </c>
      <c r="D192" s="15" t="s">
        <v>13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24</v>
      </c>
      <c r="M192" s="15">
        <v>639.71</v>
      </c>
      <c r="N192" s="15" t="s">
        <v>98</v>
      </c>
      <c r="O192" s="17" t="s">
        <v>63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233</v>
      </c>
      <c r="B193" s="9" t="s">
        <v>27</v>
      </c>
      <c r="C193" s="9" t="s">
        <v>27</v>
      </c>
      <c r="D193" s="10" t="s">
        <v>17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26" t="s">
        <v>25</v>
      </c>
      <c r="O193" s="12" t="s">
        <v>25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234</v>
      </c>
      <c r="B194" s="14" t="s">
        <v>12</v>
      </c>
      <c r="C194" s="9" t="s">
        <v>12</v>
      </c>
      <c r="D194" s="15" t="s">
        <v>32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15</v>
      </c>
      <c r="M194" s="15">
        <v>467.32</v>
      </c>
      <c r="N194" s="15" t="s">
        <v>39</v>
      </c>
      <c r="O194" s="17" t="s">
        <v>66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235</v>
      </c>
      <c r="B195" s="9" t="s">
        <v>573</v>
      </c>
      <c r="C195" s="9" t="s">
        <v>573</v>
      </c>
      <c r="D195" s="10" t="s">
        <v>17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24</v>
      </c>
      <c r="M195" s="10">
        <v>170.18</v>
      </c>
      <c r="N195" s="26" t="s">
        <v>16</v>
      </c>
      <c r="O195" s="12" t="s">
        <v>16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236</v>
      </c>
      <c r="B196" s="14" t="s">
        <v>22</v>
      </c>
      <c r="C196" s="9" t="s">
        <v>22</v>
      </c>
      <c r="D196" s="15" t="s">
        <v>17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5" t="s">
        <v>98</v>
      </c>
      <c r="O196" s="17" t="s">
        <v>63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237</v>
      </c>
      <c r="B197" s="9" t="s">
        <v>27</v>
      </c>
      <c r="C197" s="9" t="s">
        <v>27</v>
      </c>
      <c r="D197" s="10" t="s">
        <v>35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26" t="s">
        <v>25</v>
      </c>
      <c r="O197" s="12" t="s">
        <v>37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238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5" t="s">
        <v>16</v>
      </c>
      <c r="O198" s="17" t="s">
        <v>50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239</v>
      </c>
      <c r="B199" s="9" t="s">
        <v>573</v>
      </c>
      <c r="C199" s="9" t="s">
        <v>573</v>
      </c>
      <c r="D199" s="10" t="s">
        <v>23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26" t="s">
        <v>77</v>
      </c>
      <c r="O199" s="12" t="s">
        <v>77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240</v>
      </c>
      <c r="B200" s="14" t="s">
        <v>22</v>
      </c>
      <c r="C200" s="9" t="s">
        <v>22</v>
      </c>
      <c r="D200" s="15" t="s">
        <v>13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15" t="s">
        <v>33</v>
      </c>
      <c r="O200" s="17" t="s">
        <v>28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241</v>
      </c>
      <c r="B201" s="9" t="s">
        <v>27</v>
      </c>
      <c r="C201" s="9" t="s">
        <v>27</v>
      </c>
      <c r="D201" s="10" t="s">
        <v>13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26" t="s">
        <v>39</v>
      </c>
      <c r="O201" s="12" t="s">
        <v>39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242</v>
      </c>
      <c r="B202" s="14" t="s">
        <v>12</v>
      </c>
      <c r="C202" s="9" t="s">
        <v>12</v>
      </c>
      <c r="D202" s="15" t="s">
        <v>35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15" t="s">
        <v>39</v>
      </c>
      <c r="O202" s="17" t="s">
        <v>66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243</v>
      </c>
      <c r="B203" s="9" t="s">
        <v>573</v>
      </c>
      <c r="C203" s="9" t="s">
        <v>573</v>
      </c>
      <c r="D203" s="10" t="s">
        <v>23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26" t="s">
        <v>98</v>
      </c>
      <c r="O203" s="12" t="s">
        <v>98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244</v>
      </c>
      <c r="B204" s="14" t="s">
        <v>22</v>
      </c>
      <c r="C204" s="9" t="s">
        <v>22</v>
      </c>
      <c r="D204" s="15" t="s">
        <v>32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15" t="s">
        <v>77</v>
      </c>
      <c r="O204" s="17" t="s">
        <v>20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245</v>
      </c>
      <c r="B205" s="9" t="s">
        <v>27</v>
      </c>
      <c r="C205" s="9" t="s">
        <v>27</v>
      </c>
      <c r="D205" s="10" t="s">
        <v>23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26" t="s">
        <v>16</v>
      </c>
      <c r="O205" s="12" t="s">
        <v>50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246</v>
      </c>
      <c r="B206" s="14" t="s">
        <v>12</v>
      </c>
      <c r="C206" s="9" t="s">
        <v>12</v>
      </c>
      <c r="D206" s="15" t="s">
        <v>32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15</v>
      </c>
      <c r="M206" s="15">
        <v>788.19</v>
      </c>
      <c r="N206" s="15" t="s">
        <v>98</v>
      </c>
      <c r="O206" s="17" t="s">
        <v>63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247</v>
      </c>
      <c r="B207" s="9" t="s">
        <v>573</v>
      </c>
      <c r="C207" s="9" t="s">
        <v>573</v>
      </c>
      <c r="D207" s="10" t="s">
        <v>23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26" t="s">
        <v>98</v>
      </c>
      <c r="O207" s="12" t="s">
        <v>61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248</v>
      </c>
      <c r="B208" s="14" t="s">
        <v>22</v>
      </c>
      <c r="C208" s="9" t="s">
        <v>22</v>
      </c>
      <c r="D208" s="15" t="s">
        <v>17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15" t="s">
        <v>39</v>
      </c>
      <c r="O208" s="17" t="s">
        <v>66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249</v>
      </c>
      <c r="B209" s="9" t="s">
        <v>27</v>
      </c>
      <c r="C209" s="9" t="s">
        <v>27</v>
      </c>
      <c r="D209" s="10" t="s">
        <v>23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26" t="s">
        <v>25</v>
      </c>
      <c r="O209" s="12" t="s">
        <v>46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250</v>
      </c>
      <c r="B210" s="14" t="s">
        <v>12</v>
      </c>
      <c r="C210" s="9" t="s">
        <v>12</v>
      </c>
      <c r="D210" s="15" t="s">
        <v>35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15" t="s">
        <v>25</v>
      </c>
      <c r="O210" s="17" t="s">
        <v>37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251</v>
      </c>
      <c r="B211" s="9" t="s">
        <v>573</v>
      </c>
      <c r="C211" s="9" t="s">
        <v>573</v>
      </c>
      <c r="D211" s="10" t="s">
        <v>32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26" t="s">
        <v>16</v>
      </c>
      <c r="O211" s="12" t="s">
        <v>16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252</v>
      </c>
      <c r="B212" s="14" t="s">
        <v>22</v>
      </c>
      <c r="C212" s="9" t="s">
        <v>22</v>
      </c>
      <c r="D212" s="15" t="s">
        <v>13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15" t="s">
        <v>98</v>
      </c>
      <c r="O212" s="17" t="s">
        <v>63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253</v>
      </c>
      <c r="B213" s="9" t="s">
        <v>27</v>
      </c>
      <c r="C213" s="9" t="s">
        <v>27</v>
      </c>
      <c r="D213" s="10" t="s">
        <v>35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15</v>
      </c>
      <c r="M213" s="10">
        <v>133.02000000000001</v>
      </c>
      <c r="N213" s="26" t="s">
        <v>98</v>
      </c>
      <c r="O213" s="12" t="s">
        <v>98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254</v>
      </c>
      <c r="B214" s="14" t="s">
        <v>12</v>
      </c>
      <c r="C214" s="9" t="s">
        <v>12</v>
      </c>
      <c r="D214" s="15" t="s">
        <v>32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15" t="s">
        <v>98</v>
      </c>
      <c r="O214" s="17" t="s">
        <v>61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255</v>
      </c>
      <c r="B215" s="9" t="s">
        <v>573</v>
      </c>
      <c r="C215" s="9" t="s">
        <v>573</v>
      </c>
      <c r="D215" s="10" t="s">
        <v>32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15</v>
      </c>
      <c r="M215" s="10">
        <v>774.75</v>
      </c>
      <c r="N215" s="26" t="s">
        <v>39</v>
      </c>
      <c r="O215" s="12" t="s">
        <v>42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256</v>
      </c>
      <c r="B216" s="14" t="s">
        <v>22</v>
      </c>
      <c r="C216" s="9" t="s">
        <v>22</v>
      </c>
      <c r="D216" s="15" t="s">
        <v>13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5" t="s">
        <v>25</v>
      </c>
      <c r="O216" s="17" t="s">
        <v>46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257</v>
      </c>
      <c r="B217" s="9" t="s">
        <v>27</v>
      </c>
      <c r="C217" s="9" t="s">
        <v>27</v>
      </c>
      <c r="D217" s="10" t="s">
        <v>17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26" t="s">
        <v>77</v>
      </c>
      <c r="O217" s="12" t="s">
        <v>20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258</v>
      </c>
      <c r="B218" s="14" t="s">
        <v>12</v>
      </c>
      <c r="C218" s="9" t="s">
        <v>12</v>
      </c>
      <c r="D218" s="15" t="s">
        <v>35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15" t="s">
        <v>77</v>
      </c>
      <c r="O218" s="17" t="s">
        <v>53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259</v>
      </c>
      <c r="B219" s="9" t="s">
        <v>573</v>
      </c>
      <c r="C219" s="9" t="s">
        <v>573</v>
      </c>
      <c r="D219" s="10" t="s">
        <v>13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26" t="s">
        <v>25</v>
      </c>
      <c r="O219" s="12" t="s">
        <v>37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260</v>
      </c>
      <c r="B220" s="14" t="s">
        <v>22</v>
      </c>
      <c r="C220" s="9" t="s">
        <v>22</v>
      </c>
      <c r="D220" s="15" t="s">
        <v>13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24</v>
      </c>
      <c r="M220" s="15">
        <v>110.39</v>
      </c>
      <c r="N220" s="15" t="s">
        <v>33</v>
      </c>
      <c r="O220" s="17" t="s">
        <v>56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261</v>
      </c>
      <c r="B221" s="9" t="s">
        <v>27</v>
      </c>
      <c r="C221" s="9" t="s">
        <v>27</v>
      </c>
      <c r="D221" s="10" t="s">
        <v>17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26" t="s">
        <v>39</v>
      </c>
      <c r="O221" s="12" t="s">
        <v>42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262</v>
      </c>
      <c r="B222" s="14" t="s">
        <v>12</v>
      </c>
      <c r="C222" s="9" t="s">
        <v>12</v>
      </c>
      <c r="D222" s="15" t="s">
        <v>35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15" t="s">
        <v>39</v>
      </c>
      <c r="O222" s="17" t="s">
        <v>66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263</v>
      </c>
      <c r="B223" s="9" t="s">
        <v>573</v>
      </c>
      <c r="C223" s="9" t="s">
        <v>573</v>
      </c>
      <c r="D223" s="10" t="s">
        <v>13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15</v>
      </c>
      <c r="M223" s="10">
        <v>930.63</v>
      </c>
      <c r="N223" s="26" t="s">
        <v>33</v>
      </c>
      <c r="O223" s="12" t="s">
        <v>28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264</v>
      </c>
      <c r="B224" s="14" t="s">
        <v>22</v>
      </c>
      <c r="C224" s="9" t="s">
        <v>22</v>
      </c>
      <c r="D224" s="15" t="s">
        <v>17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15" t="s">
        <v>77</v>
      </c>
      <c r="O224" s="17" t="s">
        <v>53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265</v>
      </c>
      <c r="B225" s="9" t="s">
        <v>27</v>
      </c>
      <c r="C225" s="9" t="s">
        <v>27</v>
      </c>
      <c r="D225" s="10" t="s">
        <v>35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26" t="s">
        <v>77</v>
      </c>
      <c r="O225" s="12" t="s">
        <v>20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266</v>
      </c>
      <c r="B226" s="14" t="s">
        <v>12</v>
      </c>
      <c r="C226" s="9" t="s">
        <v>12</v>
      </c>
      <c r="D226" s="15" t="s">
        <v>23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15" t="s">
        <v>39</v>
      </c>
      <c r="O226" s="17" t="s">
        <v>39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267</v>
      </c>
      <c r="B227" s="9" t="s">
        <v>573</v>
      </c>
      <c r="C227" s="9" t="s">
        <v>573</v>
      </c>
      <c r="D227" s="10" t="s">
        <v>32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26" t="s">
        <v>33</v>
      </c>
      <c r="O227" s="12" t="s">
        <v>28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268</v>
      </c>
      <c r="B228" s="14" t="s">
        <v>22</v>
      </c>
      <c r="C228" s="9" t="s">
        <v>22</v>
      </c>
      <c r="D228" s="15" t="s">
        <v>17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15</v>
      </c>
      <c r="M228" s="15">
        <v>706.04</v>
      </c>
      <c r="N228" s="15" t="s">
        <v>39</v>
      </c>
      <c r="O228" s="17" t="s">
        <v>39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269</v>
      </c>
      <c r="B229" s="9" t="s">
        <v>27</v>
      </c>
      <c r="C229" s="9" t="s">
        <v>27</v>
      </c>
      <c r="D229" s="10" t="s">
        <v>32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26" t="s">
        <v>16</v>
      </c>
      <c r="O229" s="12" t="s">
        <v>93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270</v>
      </c>
      <c r="B230" s="14" t="s">
        <v>12</v>
      </c>
      <c r="C230" s="9" t="s">
        <v>12</v>
      </c>
      <c r="D230" s="15" t="s">
        <v>23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24</v>
      </c>
      <c r="M230" s="15">
        <v>385.71</v>
      </c>
      <c r="N230" s="15" t="s">
        <v>98</v>
      </c>
      <c r="O230" s="17" t="s">
        <v>61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271</v>
      </c>
      <c r="B231" s="9" t="s">
        <v>573</v>
      </c>
      <c r="C231" s="9" t="s">
        <v>573</v>
      </c>
      <c r="D231" s="10" t="s">
        <v>13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26" t="s">
        <v>25</v>
      </c>
      <c r="O231" s="12" t="s">
        <v>46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272</v>
      </c>
      <c r="B232" s="14" t="s">
        <v>22</v>
      </c>
      <c r="C232" s="9" t="s">
        <v>22</v>
      </c>
      <c r="D232" s="15" t="s">
        <v>13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15" t="s">
        <v>16</v>
      </c>
      <c r="O232" s="17" t="s">
        <v>93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273</v>
      </c>
      <c r="B233" s="9" t="s">
        <v>27</v>
      </c>
      <c r="C233" s="9" t="s">
        <v>27</v>
      </c>
      <c r="D233" s="10" t="s">
        <v>35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26" t="s">
        <v>98</v>
      </c>
      <c r="O233" s="12" t="s">
        <v>98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274</v>
      </c>
      <c r="B234" s="14" t="s">
        <v>12</v>
      </c>
      <c r="C234" s="9" t="s">
        <v>12</v>
      </c>
      <c r="D234" s="15" t="s">
        <v>17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15</v>
      </c>
      <c r="M234" s="15">
        <v>219.01</v>
      </c>
      <c r="N234" s="15" t="s">
        <v>25</v>
      </c>
      <c r="O234" s="17" t="s">
        <v>37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275</v>
      </c>
      <c r="B235" s="9" t="s">
        <v>573</v>
      </c>
      <c r="C235" s="9" t="s">
        <v>573</v>
      </c>
      <c r="D235" s="10" t="s">
        <v>17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26" t="s">
        <v>16</v>
      </c>
      <c r="O235" s="12" t="s">
        <v>93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276</v>
      </c>
      <c r="B236" s="14" t="s">
        <v>22</v>
      </c>
      <c r="C236" s="9" t="s">
        <v>22</v>
      </c>
      <c r="D236" s="15" t="s">
        <v>35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15" t="s">
        <v>33</v>
      </c>
      <c r="O236" s="17" t="s">
        <v>56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277</v>
      </c>
      <c r="B237" s="9" t="s">
        <v>27</v>
      </c>
      <c r="C237" s="9" t="s">
        <v>27</v>
      </c>
      <c r="D237" s="10" t="s">
        <v>32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15</v>
      </c>
      <c r="M237" s="10">
        <v>122.23</v>
      </c>
      <c r="N237" s="26" t="s">
        <v>77</v>
      </c>
      <c r="O237" s="12" t="s">
        <v>77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278</v>
      </c>
      <c r="B238" s="14" t="s">
        <v>12</v>
      </c>
      <c r="C238" s="9" t="s">
        <v>12</v>
      </c>
      <c r="D238" s="15" t="s">
        <v>13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15</v>
      </c>
      <c r="M238" s="15">
        <v>99.39</v>
      </c>
      <c r="N238" s="15" t="s">
        <v>16</v>
      </c>
      <c r="O238" s="17" t="s">
        <v>16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279</v>
      </c>
      <c r="B239" s="9" t="s">
        <v>573</v>
      </c>
      <c r="C239" s="9" t="s">
        <v>573</v>
      </c>
      <c r="D239" s="10" t="s">
        <v>13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19</v>
      </c>
      <c r="M239" s="10">
        <v>600.08000000000004</v>
      </c>
      <c r="N239" s="26" t="s">
        <v>33</v>
      </c>
      <c r="O239" s="12" t="s">
        <v>56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280</v>
      </c>
      <c r="B240" s="14" t="s">
        <v>22</v>
      </c>
      <c r="C240" s="9" t="s">
        <v>22</v>
      </c>
      <c r="D240" s="15" t="s">
        <v>17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15</v>
      </c>
      <c r="M240" s="15">
        <v>427.47</v>
      </c>
      <c r="N240" s="15" t="s">
        <v>98</v>
      </c>
      <c r="O240" s="17" t="s">
        <v>63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281</v>
      </c>
      <c r="B241" s="9" t="s">
        <v>27</v>
      </c>
      <c r="C241" s="9" t="s">
        <v>27</v>
      </c>
      <c r="D241" s="10" t="s">
        <v>17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15</v>
      </c>
      <c r="M241" s="10">
        <v>83.32</v>
      </c>
      <c r="N241" s="26" t="s">
        <v>98</v>
      </c>
      <c r="O241" s="12" t="s">
        <v>63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282</v>
      </c>
      <c r="B242" s="14" t="s">
        <v>12</v>
      </c>
      <c r="C242" s="9" t="s">
        <v>12</v>
      </c>
      <c r="D242" s="15" t="s">
        <v>35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15" t="s">
        <v>77</v>
      </c>
      <c r="O242" s="17" t="s">
        <v>53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283</v>
      </c>
      <c r="B243" s="9" t="s">
        <v>573</v>
      </c>
      <c r="C243" s="9" t="s">
        <v>573</v>
      </c>
      <c r="D243" s="10" t="s">
        <v>23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26" t="s">
        <v>25</v>
      </c>
      <c r="O243" s="12" t="s">
        <v>37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284</v>
      </c>
      <c r="B244" s="14" t="s">
        <v>22</v>
      </c>
      <c r="C244" s="9" t="s">
        <v>22</v>
      </c>
      <c r="D244" s="15" t="s">
        <v>32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24</v>
      </c>
      <c r="M244" s="15">
        <v>1090.8399999999999</v>
      </c>
      <c r="N244" s="15" t="s">
        <v>25</v>
      </c>
      <c r="O244" s="17" t="s">
        <v>46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285</v>
      </c>
      <c r="B245" s="9" t="s">
        <v>27</v>
      </c>
      <c r="C245" s="9" t="s">
        <v>27</v>
      </c>
      <c r="D245" s="10" t="s">
        <v>23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15</v>
      </c>
      <c r="M245" s="10">
        <v>124.78</v>
      </c>
      <c r="N245" s="26" t="s">
        <v>77</v>
      </c>
      <c r="O245" s="12" t="s">
        <v>20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286</v>
      </c>
      <c r="B246" s="14" t="s">
        <v>12</v>
      </c>
      <c r="C246" s="9" t="s">
        <v>12</v>
      </c>
      <c r="D246" s="15" t="s">
        <v>23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15" t="s">
        <v>33</v>
      </c>
      <c r="O246" s="17" t="s">
        <v>28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287</v>
      </c>
      <c r="B247" s="9" t="s">
        <v>573</v>
      </c>
      <c r="C247" s="9" t="s">
        <v>573</v>
      </c>
      <c r="D247" s="10" t="s">
        <v>17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26" t="s">
        <v>98</v>
      </c>
      <c r="O247" s="12" t="s">
        <v>98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288</v>
      </c>
      <c r="B248" s="14" t="s">
        <v>22</v>
      </c>
      <c r="C248" s="9" t="s">
        <v>22</v>
      </c>
      <c r="D248" s="15" t="s">
        <v>17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24</v>
      </c>
      <c r="M248" s="15">
        <v>710.07</v>
      </c>
      <c r="N248" s="15" t="s">
        <v>25</v>
      </c>
      <c r="O248" s="17" t="s">
        <v>46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289</v>
      </c>
      <c r="B249" s="9" t="s">
        <v>27</v>
      </c>
      <c r="C249" s="9" t="s">
        <v>27</v>
      </c>
      <c r="D249" s="10" t="s">
        <v>17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26" t="s">
        <v>39</v>
      </c>
      <c r="O249" s="12" t="s">
        <v>42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290</v>
      </c>
      <c r="B250" s="14" t="s">
        <v>12</v>
      </c>
      <c r="C250" s="9" t="s">
        <v>12</v>
      </c>
      <c r="D250" s="15" t="s">
        <v>23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5" t="s">
        <v>77</v>
      </c>
      <c r="O250" s="17" t="s">
        <v>53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291</v>
      </c>
      <c r="B251" s="9" t="s">
        <v>573</v>
      </c>
      <c r="C251" s="9" t="s">
        <v>573</v>
      </c>
      <c r="D251" s="10" t="s">
        <v>32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24</v>
      </c>
      <c r="M251" s="10">
        <v>675.38</v>
      </c>
      <c r="N251" s="26" t="s">
        <v>25</v>
      </c>
      <c r="O251" s="12" t="s">
        <v>46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292</v>
      </c>
      <c r="B252" s="14" t="s">
        <v>22</v>
      </c>
      <c r="C252" s="9" t="s">
        <v>22</v>
      </c>
      <c r="D252" s="15" t="s">
        <v>17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19</v>
      </c>
      <c r="M252" s="15">
        <v>906.63</v>
      </c>
      <c r="N252" s="15" t="s">
        <v>16</v>
      </c>
      <c r="O252" s="17" t="s">
        <v>16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293</v>
      </c>
      <c r="B253" s="9" t="s">
        <v>27</v>
      </c>
      <c r="C253" s="9" t="s">
        <v>27</v>
      </c>
      <c r="D253" s="10" t="s">
        <v>13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26" t="s">
        <v>98</v>
      </c>
      <c r="O253" s="12" t="s">
        <v>98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294</v>
      </c>
      <c r="B254" s="14" t="s">
        <v>12</v>
      </c>
      <c r="C254" s="9" t="s">
        <v>12</v>
      </c>
      <c r="D254" s="15" t="s">
        <v>32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15</v>
      </c>
      <c r="M254" s="15">
        <v>268.47000000000003</v>
      </c>
      <c r="N254" s="15" t="s">
        <v>33</v>
      </c>
      <c r="O254" s="17" t="s">
        <v>28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295</v>
      </c>
      <c r="B255" s="9" t="s">
        <v>573</v>
      </c>
      <c r="C255" s="9" t="s">
        <v>573</v>
      </c>
      <c r="D255" s="10" t="s">
        <v>13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24</v>
      </c>
      <c r="M255" s="10">
        <v>179.9</v>
      </c>
      <c r="N255" s="26" t="s">
        <v>77</v>
      </c>
      <c r="O255" s="12" t="s">
        <v>53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296</v>
      </c>
      <c r="B256" s="14" t="s">
        <v>22</v>
      </c>
      <c r="C256" s="9" t="s">
        <v>22</v>
      </c>
      <c r="D256" s="15" t="s">
        <v>32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24</v>
      </c>
      <c r="M256" s="15">
        <v>51.66</v>
      </c>
      <c r="N256" s="15" t="s">
        <v>98</v>
      </c>
      <c r="O256" s="17" t="s">
        <v>63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297</v>
      </c>
      <c r="B257" s="9" t="s">
        <v>27</v>
      </c>
      <c r="C257" s="9" t="s">
        <v>27</v>
      </c>
      <c r="D257" s="10" t="s">
        <v>17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26" t="s">
        <v>33</v>
      </c>
      <c r="O257" s="12" t="s">
        <v>56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298</v>
      </c>
      <c r="B258" s="14" t="s">
        <v>12</v>
      </c>
      <c r="C258" s="9" t="s">
        <v>12</v>
      </c>
      <c r="D258" s="15" t="s">
        <v>35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5" t="s">
        <v>39</v>
      </c>
      <c r="O258" s="17" t="s">
        <v>39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299</v>
      </c>
      <c r="B259" s="9" t="s">
        <v>573</v>
      </c>
      <c r="C259" s="9" t="s">
        <v>573</v>
      </c>
      <c r="D259" s="10" t="s">
        <v>17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26" t="s">
        <v>25</v>
      </c>
      <c r="O259" s="12" t="s">
        <v>37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300</v>
      </c>
      <c r="B260" s="14" t="s">
        <v>22</v>
      </c>
      <c r="C260" s="9" t="s">
        <v>22</v>
      </c>
      <c r="D260" s="15" t="s">
        <v>23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15" t="s">
        <v>77</v>
      </c>
      <c r="O260" s="17" t="s">
        <v>20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301</v>
      </c>
      <c r="B261" s="9" t="s">
        <v>27</v>
      </c>
      <c r="C261" s="9" t="s">
        <v>27</v>
      </c>
      <c r="D261" s="10" t="s">
        <v>23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15</v>
      </c>
      <c r="M261" s="10">
        <v>106.36</v>
      </c>
      <c r="N261" s="26" t="s">
        <v>39</v>
      </c>
      <c r="O261" s="12" t="s">
        <v>39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302</v>
      </c>
      <c r="B262" s="14" t="s">
        <v>12</v>
      </c>
      <c r="C262" s="9" t="s">
        <v>12</v>
      </c>
      <c r="D262" s="15" t="s">
        <v>32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15" t="s">
        <v>33</v>
      </c>
      <c r="O262" s="17" t="s">
        <v>28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303</v>
      </c>
      <c r="B263" s="9" t="s">
        <v>573</v>
      </c>
      <c r="C263" s="9" t="s">
        <v>573</v>
      </c>
      <c r="D263" s="10" t="s">
        <v>23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19</v>
      </c>
      <c r="M263" s="10">
        <v>531.95000000000005</v>
      </c>
      <c r="N263" s="26" t="s">
        <v>77</v>
      </c>
      <c r="O263" s="12" t="s">
        <v>77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304</v>
      </c>
      <c r="B264" s="14" t="s">
        <v>22</v>
      </c>
      <c r="C264" s="9" t="s">
        <v>22</v>
      </c>
      <c r="D264" s="15" t="s">
        <v>17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24</v>
      </c>
      <c r="M264" s="15">
        <v>1235</v>
      </c>
      <c r="N264" s="15" t="s">
        <v>98</v>
      </c>
      <c r="O264" s="17" t="s">
        <v>63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305</v>
      </c>
      <c r="B265" s="9" t="s">
        <v>27</v>
      </c>
      <c r="C265" s="9" t="s">
        <v>27</v>
      </c>
      <c r="D265" s="10" t="s">
        <v>13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19</v>
      </c>
      <c r="M265" s="10">
        <v>405.21</v>
      </c>
      <c r="N265" s="26" t="s">
        <v>25</v>
      </c>
      <c r="O265" s="12" t="s">
        <v>37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306</v>
      </c>
      <c r="B266" s="14" t="s">
        <v>12</v>
      </c>
      <c r="C266" s="9" t="s">
        <v>12</v>
      </c>
      <c r="D266" s="15" t="s">
        <v>17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19</v>
      </c>
      <c r="M266" s="15">
        <v>276.95999999999998</v>
      </c>
      <c r="N266" s="15" t="s">
        <v>98</v>
      </c>
      <c r="O266" s="17" t="s">
        <v>98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307</v>
      </c>
      <c r="B267" s="9" t="s">
        <v>573</v>
      </c>
      <c r="C267" s="9" t="s">
        <v>573</v>
      </c>
      <c r="D267" s="10" t="s">
        <v>32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26" t="s">
        <v>39</v>
      </c>
      <c r="O267" s="12" t="s">
        <v>39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308</v>
      </c>
      <c r="B268" s="14" t="s">
        <v>22</v>
      </c>
      <c r="C268" s="9" t="s">
        <v>22</v>
      </c>
      <c r="D268" s="15" t="s">
        <v>23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15</v>
      </c>
      <c r="M268" s="15">
        <v>55.65</v>
      </c>
      <c r="N268" s="15" t="s">
        <v>39</v>
      </c>
      <c r="O268" s="17" t="s">
        <v>39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309</v>
      </c>
      <c r="B269" s="9" t="s">
        <v>27</v>
      </c>
      <c r="C269" s="9" t="s">
        <v>27</v>
      </c>
      <c r="D269" s="10" t="s">
        <v>13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26" t="s">
        <v>39</v>
      </c>
      <c r="O269" s="12" t="s">
        <v>39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310</v>
      </c>
      <c r="B270" s="14" t="s">
        <v>12</v>
      </c>
      <c r="C270" s="9" t="s">
        <v>12</v>
      </c>
      <c r="D270" s="15" t="s">
        <v>35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15</v>
      </c>
      <c r="M270" s="15">
        <v>705.97</v>
      </c>
      <c r="N270" s="15" t="s">
        <v>16</v>
      </c>
      <c r="O270" s="17" t="s">
        <v>50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311</v>
      </c>
      <c r="B271" s="9" t="s">
        <v>573</v>
      </c>
      <c r="C271" s="9" t="s">
        <v>573</v>
      </c>
      <c r="D271" s="10" t="s">
        <v>13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24</v>
      </c>
      <c r="M271" s="10">
        <v>369.04</v>
      </c>
      <c r="N271" s="26" t="s">
        <v>77</v>
      </c>
      <c r="O271" s="12" t="s">
        <v>77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312</v>
      </c>
      <c r="B272" s="14" t="s">
        <v>22</v>
      </c>
      <c r="C272" s="9" t="s">
        <v>22</v>
      </c>
      <c r="D272" s="15" t="s">
        <v>13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24</v>
      </c>
      <c r="M272" s="15">
        <v>696.38</v>
      </c>
      <c r="N272" s="15" t="s">
        <v>33</v>
      </c>
      <c r="O272" s="17" t="s">
        <v>28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313</v>
      </c>
      <c r="B273" s="9" t="s">
        <v>27</v>
      </c>
      <c r="C273" s="9" t="s">
        <v>27</v>
      </c>
      <c r="D273" s="10" t="s">
        <v>17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26" t="s">
        <v>33</v>
      </c>
      <c r="O273" s="12" t="s">
        <v>28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314</v>
      </c>
      <c r="B274" s="14" t="s">
        <v>12</v>
      </c>
      <c r="C274" s="9" t="s">
        <v>12</v>
      </c>
      <c r="D274" s="15" t="s">
        <v>35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15" t="s">
        <v>98</v>
      </c>
      <c r="O274" s="17" t="s">
        <v>63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315</v>
      </c>
      <c r="B275" s="9" t="s">
        <v>573</v>
      </c>
      <c r="C275" s="9" t="s">
        <v>573</v>
      </c>
      <c r="D275" s="10" t="s">
        <v>32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26" t="s">
        <v>98</v>
      </c>
      <c r="O275" s="12" t="s">
        <v>98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316</v>
      </c>
      <c r="B276" s="14" t="s">
        <v>22</v>
      </c>
      <c r="C276" s="9" t="s">
        <v>22</v>
      </c>
      <c r="D276" s="15" t="s">
        <v>32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15</v>
      </c>
      <c r="M276" s="15">
        <v>139.74</v>
      </c>
      <c r="N276" s="15" t="s">
        <v>98</v>
      </c>
      <c r="O276" s="17" t="s">
        <v>63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317</v>
      </c>
      <c r="B277" s="9" t="s">
        <v>27</v>
      </c>
      <c r="C277" s="9" t="s">
        <v>27</v>
      </c>
      <c r="D277" s="10" t="s">
        <v>13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15</v>
      </c>
      <c r="M277" s="10">
        <v>1369.07</v>
      </c>
      <c r="N277" s="26" t="s">
        <v>98</v>
      </c>
      <c r="O277" s="12" t="s">
        <v>98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318</v>
      </c>
      <c r="B278" s="14" t="s">
        <v>12</v>
      </c>
      <c r="C278" s="9" t="s">
        <v>12</v>
      </c>
      <c r="D278" s="15" t="s">
        <v>13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15" t="s">
        <v>98</v>
      </c>
      <c r="O278" s="17" t="s">
        <v>61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319</v>
      </c>
      <c r="B279" s="9" t="s">
        <v>573</v>
      </c>
      <c r="C279" s="9" t="s">
        <v>573</v>
      </c>
      <c r="D279" s="10" t="s">
        <v>23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19</v>
      </c>
      <c r="M279" s="10">
        <v>436.28</v>
      </c>
      <c r="N279" s="26" t="s">
        <v>77</v>
      </c>
      <c r="O279" s="12" t="s">
        <v>20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320</v>
      </c>
      <c r="B280" s="14" t="s">
        <v>22</v>
      </c>
      <c r="C280" s="9" t="s">
        <v>22</v>
      </c>
      <c r="D280" s="15" t="s">
        <v>35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15" t="s">
        <v>77</v>
      </c>
      <c r="O280" s="17" t="s">
        <v>53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321</v>
      </c>
      <c r="B281" s="9" t="s">
        <v>27</v>
      </c>
      <c r="C281" s="9" t="s">
        <v>27</v>
      </c>
      <c r="D281" s="10" t="s">
        <v>13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26" t="s">
        <v>25</v>
      </c>
      <c r="O281" s="12" t="s">
        <v>46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322</v>
      </c>
      <c r="B282" s="14" t="s">
        <v>12</v>
      </c>
      <c r="C282" s="9" t="s">
        <v>12</v>
      </c>
      <c r="D282" s="15" t="s">
        <v>23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15" t="s">
        <v>33</v>
      </c>
      <c r="O282" s="17" t="s">
        <v>56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323</v>
      </c>
      <c r="B283" s="9" t="s">
        <v>573</v>
      </c>
      <c r="C283" s="9" t="s">
        <v>573</v>
      </c>
      <c r="D283" s="10" t="s">
        <v>35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26" t="s">
        <v>33</v>
      </c>
      <c r="O283" s="12" t="s">
        <v>28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324</v>
      </c>
      <c r="B284" s="14" t="s">
        <v>22</v>
      </c>
      <c r="C284" s="9" t="s">
        <v>22</v>
      </c>
      <c r="D284" s="15" t="s">
        <v>32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24</v>
      </c>
      <c r="M284" s="15">
        <v>1118.01</v>
      </c>
      <c r="N284" s="15" t="s">
        <v>25</v>
      </c>
      <c r="O284" s="17" t="s">
        <v>25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325</v>
      </c>
      <c r="B285" s="9" t="s">
        <v>27</v>
      </c>
      <c r="C285" s="9" t="s">
        <v>27</v>
      </c>
      <c r="D285" s="10" t="s">
        <v>23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26" t="s">
        <v>77</v>
      </c>
      <c r="O285" s="12" t="s">
        <v>20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326</v>
      </c>
      <c r="B286" s="14" t="s">
        <v>12</v>
      </c>
      <c r="C286" s="9" t="s">
        <v>12</v>
      </c>
      <c r="D286" s="15" t="s">
        <v>35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15" t="s">
        <v>77</v>
      </c>
      <c r="O286" s="17" t="s">
        <v>20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327</v>
      </c>
      <c r="B287" s="9" t="s">
        <v>573</v>
      </c>
      <c r="C287" s="9" t="s">
        <v>573</v>
      </c>
      <c r="D287" s="10" t="s">
        <v>23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26" t="s">
        <v>77</v>
      </c>
      <c r="O287" s="12" t="s">
        <v>20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328</v>
      </c>
      <c r="B288" s="14" t="s">
        <v>22</v>
      </c>
      <c r="C288" s="9" t="s">
        <v>22</v>
      </c>
      <c r="D288" s="15" t="s">
        <v>13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15" t="s">
        <v>16</v>
      </c>
      <c r="O288" s="17" t="s">
        <v>16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329</v>
      </c>
      <c r="B289" s="9" t="s">
        <v>27</v>
      </c>
      <c r="C289" s="9" t="s">
        <v>27</v>
      </c>
      <c r="D289" s="10" t="s">
        <v>17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26" t="s">
        <v>39</v>
      </c>
      <c r="O289" s="12" t="s">
        <v>66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330</v>
      </c>
      <c r="B290" s="14" t="s">
        <v>12</v>
      </c>
      <c r="C290" s="9" t="s">
        <v>12</v>
      </c>
      <c r="D290" s="15" t="s">
        <v>32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15" t="s">
        <v>33</v>
      </c>
      <c r="O290" s="17" t="s">
        <v>56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331</v>
      </c>
      <c r="B291" s="9" t="s">
        <v>573</v>
      </c>
      <c r="C291" s="9" t="s">
        <v>573</v>
      </c>
      <c r="D291" s="10" t="s">
        <v>13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26" t="s">
        <v>39</v>
      </c>
      <c r="O291" s="12" t="s">
        <v>39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332</v>
      </c>
      <c r="B292" s="14" t="s">
        <v>22</v>
      </c>
      <c r="C292" s="9" t="s">
        <v>22</v>
      </c>
      <c r="D292" s="15" t="s">
        <v>13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15</v>
      </c>
      <c r="M292" s="15">
        <v>442.59</v>
      </c>
      <c r="N292" s="15" t="s">
        <v>77</v>
      </c>
      <c r="O292" s="17" t="s">
        <v>77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333</v>
      </c>
      <c r="B293" s="9" t="s">
        <v>27</v>
      </c>
      <c r="C293" s="9" t="s">
        <v>27</v>
      </c>
      <c r="D293" s="10" t="s">
        <v>35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26" t="s">
        <v>33</v>
      </c>
      <c r="O293" s="12" t="s">
        <v>33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334</v>
      </c>
      <c r="B294" s="14" t="s">
        <v>12</v>
      </c>
      <c r="C294" s="9" t="s">
        <v>12</v>
      </c>
      <c r="D294" s="15" t="s">
        <v>23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15" t="s">
        <v>77</v>
      </c>
      <c r="O294" s="17" t="s">
        <v>53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335</v>
      </c>
      <c r="B295" s="9" t="s">
        <v>573</v>
      </c>
      <c r="C295" s="9" t="s">
        <v>573</v>
      </c>
      <c r="D295" s="10" t="s">
        <v>32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15</v>
      </c>
      <c r="M295" s="10">
        <v>324.74</v>
      </c>
      <c r="N295" s="26" t="s">
        <v>33</v>
      </c>
      <c r="O295" s="12" t="s">
        <v>56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336</v>
      </c>
      <c r="B296" s="14" t="s">
        <v>22</v>
      </c>
      <c r="C296" s="9" t="s">
        <v>22</v>
      </c>
      <c r="D296" s="15" t="s">
        <v>13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24</v>
      </c>
      <c r="M296" s="15">
        <v>351.13</v>
      </c>
      <c r="N296" s="15" t="s">
        <v>39</v>
      </c>
      <c r="O296" s="17" t="s">
        <v>39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337</v>
      </c>
      <c r="B297" s="9" t="s">
        <v>27</v>
      </c>
      <c r="C297" s="9" t="s">
        <v>27</v>
      </c>
      <c r="D297" s="10" t="s">
        <v>35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26" t="s">
        <v>39</v>
      </c>
      <c r="O297" s="12" t="s">
        <v>42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338</v>
      </c>
      <c r="B298" s="14" t="s">
        <v>12</v>
      </c>
      <c r="C298" s="9" t="s">
        <v>12</v>
      </c>
      <c r="D298" s="15" t="s">
        <v>32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15</v>
      </c>
      <c r="M298" s="15">
        <v>519.6</v>
      </c>
      <c r="N298" s="15" t="s">
        <v>39</v>
      </c>
      <c r="O298" s="17" t="s">
        <v>66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339</v>
      </c>
      <c r="B299" s="9" t="s">
        <v>573</v>
      </c>
      <c r="C299" s="9" t="s">
        <v>573</v>
      </c>
      <c r="D299" s="10" t="s">
        <v>23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26" t="s">
        <v>25</v>
      </c>
      <c r="O299" s="12" t="s">
        <v>25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340</v>
      </c>
      <c r="B300" s="14" t="s">
        <v>22</v>
      </c>
      <c r="C300" s="9" t="s">
        <v>22</v>
      </c>
      <c r="D300" s="15" t="s">
        <v>13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15" t="s">
        <v>39</v>
      </c>
      <c r="O300" s="17" t="s">
        <v>66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341</v>
      </c>
      <c r="B301" s="9" t="s">
        <v>27</v>
      </c>
      <c r="C301" s="9" t="s">
        <v>27</v>
      </c>
      <c r="D301" s="10" t="s">
        <v>13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26" t="s">
        <v>77</v>
      </c>
      <c r="O301" s="12" t="s">
        <v>77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342</v>
      </c>
      <c r="B302" s="14" t="s">
        <v>12</v>
      </c>
      <c r="C302" s="9" t="s">
        <v>12</v>
      </c>
      <c r="D302" s="15" t="s">
        <v>13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15" t="s">
        <v>25</v>
      </c>
      <c r="O302" s="17" t="s">
        <v>25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343</v>
      </c>
      <c r="B303" s="9" t="s">
        <v>573</v>
      </c>
      <c r="C303" s="9" t="s">
        <v>573</v>
      </c>
      <c r="D303" s="10" t="s">
        <v>32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26" t="s">
        <v>98</v>
      </c>
      <c r="O303" s="12" t="s">
        <v>63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344</v>
      </c>
      <c r="B304" s="14" t="s">
        <v>22</v>
      </c>
      <c r="C304" s="9" t="s">
        <v>22</v>
      </c>
      <c r="D304" s="15" t="s">
        <v>32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15" t="s">
        <v>25</v>
      </c>
      <c r="O304" s="17" t="s">
        <v>46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345</v>
      </c>
      <c r="B305" s="9" t="s">
        <v>27</v>
      </c>
      <c r="C305" s="9" t="s">
        <v>27</v>
      </c>
      <c r="D305" s="10" t="s">
        <v>32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15</v>
      </c>
      <c r="M305" s="10">
        <v>800.8</v>
      </c>
      <c r="N305" s="26" t="s">
        <v>77</v>
      </c>
      <c r="O305" s="12" t="s">
        <v>53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346</v>
      </c>
      <c r="B306" s="14" t="s">
        <v>12</v>
      </c>
      <c r="C306" s="9" t="s">
        <v>12</v>
      </c>
      <c r="D306" s="15" t="s">
        <v>32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15" t="s">
        <v>77</v>
      </c>
      <c r="O306" s="17" t="s">
        <v>20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347</v>
      </c>
      <c r="B307" s="9" t="s">
        <v>573</v>
      </c>
      <c r="C307" s="9" t="s">
        <v>573</v>
      </c>
      <c r="D307" s="10" t="s">
        <v>35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26" t="s">
        <v>33</v>
      </c>
      <c r="O307" s="12" t="s">
        <v>33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348</v>
      </c>
      <c r="B308" s="14" t="s">
        <v>22</v>
      </c>
      <c r="C308" s="9" t="s">
        <v>22</v>
      </c>
      <c r="D308" s="15" t="s">
        <v>17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15" t="s">
        <v>25</v>
      </c>
      <c r="O308" s="17" t="s">
        <v>37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349</v>
      </c>
      <c r="B309" s="9" t="s">
        <v>27</v>
      </c>
      <c r="C309" s="9" t="s">
        <v>27</v>
      </c>
      <c r="D309" s="10" t="s">
        <v>35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19</v>
      </c>
      <c r="M309" s="10">
        <v>665.8</v>
      </c>
      <c r="N309" s="26" t="s">
        <v>16</v>
      </c>
      <c r="O309" s="12" t="s">
        <v>93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350</v>
      </c>
      <c r="B310" s="14" t="s">
        <v>12</v>
      </c>
      <c r="C310" s="9" t="s">
        <v>12</v>
      </c>
      <c r="D310" s="15" t="s">
        <v>13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15" t="s">
        <v>25</v>
      </c>
      <c r="O310" s="17" t="s">
        <v>46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351</v>
      </c>
      <c r="B311" s="9" t="s">
        <v>573</v>
      </c>
      <c r="C311" s="9" t="s">
        <v>573</v>
      </c>
      <c r="D311" s="10" t="s">
        <v>35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15</v>
      </c>
      <c r="M311" s="10">
        <v>234</v>
      </c>
      <c r="N311" s="26" t="s">
        <v>33</v>
      </c>
      <c r="O311" s="12" t="s">
        <v>28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352</v>
      </c>
      <c r="B312" s="14" t="s">
        <v>22</v>
      </c>
      <c r="C312" s="9" t="s">
        <v>22</v>
      </c>
      <c r="D312" s="15" t="s">
        <v>23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15" t="s">
        <v>98</v>
      </c>
      <c r="O312" s="17" t="s">
        <v>98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353</v>
      </c>
      <c r="B313" s="9" t="s">
        <v>27</v>
      </c>
      <c r="C313" s="9" t="s">
        <v>27</v>
      </c>
      <c r="D313" s="10" t="s">
        <v>32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15</v>
      </c>
      <c r="M313" s="10">
        <v>116.61</v>
      </c>
      <c r="N313" s="26" t="s">
        <v>77</v>
      </c>
      <c r="O313" s="12" t="s">
        <v>53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354</v>
      </c>
      <c r="B314" s="14" t="s">
        <v>12</v>
      </c>
      <c r="C314" s="9" t="s">
        <v>12</v>
      </c>
      <c r="D314" s="15" t="s">
        <v>23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15" t="s">
        <v>98</v>
      </c>
      <c r="O314" s="17" t="s">
        <v>61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355</v>
      </c>
      <c r="B315" s="9" t="s">
        <v>573</v>
      </c>
      <c r="C315" s="9" t="s">
        <v>573</v>
      </c>
      <c r="D315" s="10" t="s">
        <v>23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15</v>
      </c>
      <c r="M315" s="10">
        <v>237.24</v>
      </c>
      <c r="N315" s="26" t="s">
        <v>33</v>
      </c>
      <c r="O315" s="12" t="s">
        <v>56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356</v>
      </c>
      <c r="B316" s="14" t="s">
        <v>22</v>
      </c>
      <c r="C316" s="9" t="s">
        <v>22</v>
      </c>
      <c r="D316" s="15" t="s">
        <v>13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15" t="s">
        <v>33</v>
      </c>
      <c r="O316" s="17" t="s">
        <v>56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357</v>
      </c>
      <c r="B317" s="9" t="s">
        <v>27</v>
      </c>
      <c r="C317" s="9" t="s">
        <v>27</v>
      </c>
      <c r="D317" s="10" t="s">
        <v>32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15</v>
      </c>
      <c r="M317" s="10">
        <v>24.31</v>
      </c>
      <c r="N317" s="26" t="s">
        <v>16</v>
      </c>
      <c r="O317" s="12" t="s">
        <v>93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358</v>
      </c>
      <c r="B318" s="14" t="s">
        <v>12</v>
      </c>
      <c r="C318" s="9" t="s">
        <v>12</v>
      </c>
      <c r="D318" s="15" t="s">
        <v>23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15" t="s">
        <v>77</v>
      </c>
      <c r="O318" s="17" t="s">
        <v>77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359</v>
      </c>
      <c r="B319" s="9" t="s">
        <v>573</v>
      </c>
      <c r="C319" s="9" t="s">
        <v>573</v>
      </c>
      <c r="D319" s="10" t="s">
        <v>13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26" t="s">
        <v>98</v>
      </c>
      <c r="O319" s="12" t="s">
        <v>63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360</v>
      </c>
      <c r="B320" s="14" t="s">
        <v>22</v>
      </c>
      <c r="C320" s="9" t="s">
        <v>22</v>
      </c>
      <c r="D320" s="15" t="s">
        <v>32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5" t="s">
        <v>33</v>
      </c>
      <c r="O320" s="17" t="s">
        <v>56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361</v>
      </c>
      <c r="B321" s="9" t="s">
        <v>27</v>
      </c>
      <c r="C321" s="9" t="s">
        <v>27</v>
      </c>
      <c r="D321" s="10" t="s">
        <v>17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15</v>
      </c>
      <c r="M321" s="10">
        <v>697.79</v>
      </c>
      <c r="N321" s="26" t="s">
        <v>39</v>
      </c>
      <c r="O321" s="12" t="s">
        <v>39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362</v>
      </c>
      <c r="B322" s="14" t="s">
        <v>12</v>
      </c>
      <c r="C322" s="9" t="s">
        <v>12</v>
      </c>
      <c r="D322" s="15" t="s">
        <v>13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15" t="s">
        <v>33</v>
      </c>
      <c r="O322" s="17" t="s">
        <v>56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363</v>
      </c>
      <c r="B323" s="9" t="s">
        <v>573</v>
      </c>
      <c r="C323" s="9" t="s">
        <v>573</v>
      </c>
      <c r="D323" s="10" t="s">
        <v>35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26" t="s">
        <v>98</v>
      </c>
      <c r="O323" s="12" t="s">
        <v>98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364</v>
      </c>
      <c r="B324" s="14" t="s">
        <v>22</v>
      </c>
      <c r="C324" s="9" t="s">
        <v>22</v>
      </c>
      <c r="D324" s="15" t="s">
        <v>32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24</v>
      </c>
      <c r="M324" s="15">
        <v>761.11</v>
      </c>
      <c r="N324" s="15" t="s">
        <v>39</v>
      </c>
      <c r="O324" s="17" t="s">
        <v>39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365</v>
      </c>
      <c r="B325" s="9" t="s">
        <v>27</v>
      </c>
      <c r="C325" s="9" t="s">
        <v>27</v>
      </c>
      <c r="D325" s="10" t="s">
        <v>23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26" t="s">
        <v>77</v>
      </c>
      <c r="O325" s="12" t="s">
        <v>20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366</v>
      </c>
      <c r="B326" s="14" t="s">
        <v>12</v>
      </c>
      <c r="C326" s="9" t="s">
        <v>12</v>
      </c>
      <c r="D326" s="15" t="s">
        <v>23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15" t="s">
        <v>16</v>
      </c>
      <c r="O326" s="17" t="s">
        <v>93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367</v>
      </c>
      <c r="B327" s="9" t="s">
        <v>573</v>
      </c>
      <c r="C327" s="9" t="s">
        <v>573</v>
      </c>
      <c r="D327" s="10" t="s">
        <v>35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26" t="s">
        <v>77</v>
      </c>
      <c r="O327" s="12" t="s">
        <v>53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368</v>
      </c>
      <c r="B328" s="14" t="s">
        <v>22</v>
      </c>
      <c r="C328" s="9" t="s">
        <v>22</v>
      </c>
      <c r="D328" s="15" t="s">
        <v>35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15" t="s">
        <v>33</v>
      </c>
      <c r="O328" s="17" t="s">
        <v>33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369</v>
      </c>
      <c r="B329" s="9" t="s">
        <v>27</v>
      </c>
      <c r="C329" s="9" t="s">
        <v>27</v>
      </c>
      <c r="D329" s="10" t="s">
        <v>23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26" t="s">
        <v>39</v>
      </c>
      <c r="O329" s="12" t="s">
        <v>42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370</v>
      </c>
      <c r="B330" s="14" t="s">
        <v>12</v>
      </c>
      <c r="C330" s="9" t="s">
        <v>12</v>
      </c>
      <c r="D330" s="15" t="s">
        <v>32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15</v>
      </c>
      <c r="M330" s="15">
        <v>1155.56</v>
      </c>
      <c r="N330" s="15" t="s">
        <v>33</v>
      </c>
      <c r="O330" s="17" t="s">
        <v>56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371</v>
      </c>
      <c r="B331" s="9" t="s">
        <v>573</v>
      </c>
      <c r="C331" s="9" t="s">
        <v>573</v>
      </c>
      <c r="D331" s="10" t="s">
        <v>13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26" t="s">
        <v>77</v>
      </c>
      <c r="O331" s="12" t="s">
        <v>77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372</v>
      </c>
      <c r="B332" s="14" t="s">
        <v>22</v>
      </c>
      <c r="C332" s="9" t="s">
        <v>22</v>
      </c>
      <c r="D332" s="15" t="s">
        <v>35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15" t="s">
        <v>77</v>
      </c>
      <c r="O332" s="17" t="s">
        <v>53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373</v>
      </c>
      <c r="B333" s="9" t="s">
        <v>27</v>
      </c>
      <c r="C333" s="9" t="s">
        <v>27</v>
      </c>
      <c r="D333" s="10" t="s">
        <v>35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15</v>
      </c>
      <c r="M333" s="10">
        <v>217.76</v>
      </c>
      <c r="N333" s="26" t="s">
        <v>16</v>
      </c>
      <c r="O333" s="12" t="s">
        <v>16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374</v>
      </c>
      <c r="B334" s="14" t="s">
        <v>12</v>
      </c>
      <c r="C334" s="9" t="s">
        <v>12</v>
      </c>
      <c r="D334" s="15" t="s">
        <v>35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15" t="s">
        <v>39</v>
      </c>
      <c r="O334" s="17" t="s">
        <v>42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375</v>
      </c>
      <c r="B335" s="9" t="s">
        <v>573</v>
      </c>
      <c r="C335" s="9" t="s">
        <v>573</v>
      </c>
      <c r="D335" s="10" t="s">
        <v>17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26" t="s">
        <v>77</v>
      </c>
      <c r="O335" s="12" t="s">
        <v>53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376</v>
      </c>
      <c r="B336" s="14" t="s">
        <v>22</v>
      </c>
      <c r="C336" s="9" t="s">
        <v>22</v>
      </c>
      <c r="D336" s="15" t="s">
        <v>32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15" t="s">
        <v>98</v>
      </c>
      <c r="O336" s="17" t="s">
        <v>98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377</v>
      </c>
      <c r="B337" s="9" t="s">
        <v>27</v>
      </c>
      <c r="C337" s="9" t="s">
        <v>27</v>
      </c>
      <c r="D337" s="10" t="s">
        <v>32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19</v>
      </c>
      <c r="M337" s="10">
        <v>48.42</v>
      </c>
      <c r="N337" s="26" t="s">
        <v>98</v>
      </c>
      <c r="O337" s="12" t="s">
        <v>98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378</v>
      </c>
      <c r="B338" s="14" t="s">
        <v>12</v>
      </c>
      <c r="C338" s="9" t="s">
        <v>12</v>
      </c>
      <c r="D338" s="15" t="s">
        <v>32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15" t="s">
        <v>16</v>
      </c>
      <c r="O338" s="17" t="s">
        <v>16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379</v>
      </c>
      <c r="B339" s="9" t="s">
        <v>573</v>
      </c>
      <c r="C339" s="9" t="s">
        <v>573</v>
      </c>
      <c r="D339" s="10" t="s">
        <v>32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15</v>
      </c>
      <c r="M339" s="10">
        <v>370.75</v>
      </c>
      <c r="N339" s="26" t="s">
        <v>98</v>
      </c>
      <c r="O339" s="12" t="s">
        <v>61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380</v>
      </c>
      <c r="B340" s="14" t="s">
        <v>22</v>
      </c>
      <c r="C340" s="9" t="s">
        <v>22</v>
      </c>
      <c r="D340" s="15" t="s">
        <v>32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15" t="s">
        <v>25</v>
      </c>
      <c r="O340" s="17" t="s">
        <v>46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381</v>
      </c>
      <c r="B341" s="9" t="s">
        <v>27</v>
      </c>
      <c r="C341" s="9" t="s">
        <v>27</v>
      </c>
      <c r="D341" s="10" t="s">
        <v>23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26" t="s">
        <v>77</v>
      </c>
      <c r="O341" s="12" t="s">
        <v>53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382</v>
      </c>
      <c r="B342" s="14" t="s">
        <v>12</v>
      </c>
      <c r="C342" s="9" t="s">
        <v>12</v>
      </c>
      <c r="D342" s="15" t="s">
        <v>35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15" t="s">
        <v>33</v>
      </c>
      <c r="O342" s="17" t="s">
        <v>28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383</v>
      </c>
      <c r="B343" s="9" t="s">
        <v>573</v>
      </c>
      <c r="C343" s="9" t="s">
        <v>573</v>
      </c>
      <c r="D343" s="10" t="s">
        <v>23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26" t="s">
        <v>77</v>
      </c>
      <c r="O343" s="12" t="s">
        <v>53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384</v>
      </c>
      <c r="B344" s="14" t="s">
        <v>22</v>
      </c>
      <c r="C344" s="9" t="s">
        <v>22</v>
      </c>
      <c r="D344" s="15" t="s">
        <v>17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24</v>
      </c>
      <c r="M344" s="15">
        <v>314.73</v>
      </c>
      <c r="N344" s="15" t="s">
        <v>33</v>
      </c>
      <c r="O344" s="17" t="s">
        <v>28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385</v>
      </c>
      <c r="B345" s="9" t="s">
        <v>27</v>
      </c>
      <c r="C345" s="9" t="s">
        <v>27</v>
      </c>
      <c r="D345" s="10" t="s">
        <v>13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26" t="s">
        <v>16</v>
      </c>
      <c r="O345" s="12" t="s">
        <v>50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386</v>
      </c>
      <c r="B346" s="14" t="s">
        <v>12</v>
      </c>
      <c r="C346" s="9" t="s">
        <v>12</v>
      </c>
      <c r="D346" s="15" t="s">
        <v>35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5" t="s">
        <v>16</v>
      </c>
      <c r="O346" s="17" t="s">
        <v>93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387</v>
      </c>
      <c r="B347" s="9" t="s">
        <v>573</v>
      </c>
      <c r="C347" s="9" t="s">
        <v>573</v>
      </c>
      <c r="D347" s="10" t="s">
        <v>17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15</v>
      </c>
      <c r="M347" s="10">
        <v>448.63</v>
      </c>
      <c r="N347" s="26" t="s">
        <v>33</v>
      </c>
      <c r="O347" s="12" t="s">
        <v>56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388</v>
      </c>
      <c r="B348" s="14" t="s">
        <v>22</v>
      </c>
      <c r="C348" s="9" t="s">
        <v>22</v>
      </c>
      <c r="D348" s="15" t="s">
        <v>23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15" t="s">
        <v>16</v>
      </c>
      <c r="O348" s="17" t="s">
        <v>50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389</v>
      </c>
      <c r="B349" s="9" t="s">
        <v>27</v>
      </c>
      <c r="C349" s="9" t="s">
        <v>27</v>
      </c>
      <c r="D349" s="10" t="s">
        <v>13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15</v>
      </c>
      <c r="M349" s="10">
        <v>347.16</v>
      </c>
      <c r="N349" s="26" t="s">
        <v>39</v>
      </c>
      <c r="O349" s="12" t="s">
        <v>42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390</v>
      </c>
      <c r="B350" s="14" t="s">
        <v>12</v>
      </c>
      <c r="C350" s="9" t="s">
        <v>12</v>
      </c>
      <c r="D350" s="15" t="s">
        <v>17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24</v>
      </c>
      <c r="M350" s="15">
        <v>161.51</v>
      </c>
      <c r="N350" s="15" t="s">
        <v>16</v>
      </c>
      <c r="O350" s="17" t="s">
        <v>16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391</v>
      </c>
      <c r="B351" s="9" t="s">
        <v>573</v>
      </c>
      <c r="C351" s="9" t="s">
        <v>573</v>
      </c>
      <c r="D351" s="10" t="s">
        <v>13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26" t="s">
        <v>98</v>
      </c>
      <c r="O351" s="12" t="s">
        <v>61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392</v>
      </c>
      <c r="B352" s="14" t="s">
        <v>22</v>
      </c>
      <c r="C352" s="9" t="s">
        <v>22</v>
      </c>
      <c r="D352" s="15" t="s">
        <v>17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5" t="s">
        <v>25</v>
      </c>
      <c r="O352" s="17" t="s">
        <v>25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393</v>
      </c>
      <c r="B353" s="9" t="s">
        <v>27</v>
      </c>
      <c r="C353" s="9" t="s">
        <v>27</v>
      </c>
      <c r="D353" s="10" t="s">
        <v>23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15</v>
      </c>
      <c r="M353" s="10">
        <v>289</v>
      </c>
      <c r="N353" s="26" t="s">
        <v>77</v>
      </c>
      <c r="O353" s="12" t="s">
        <v>77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394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15" t="s">
        <v>77</v>
      </c>
      <c r="O354" s="17" t="s">
        <v>53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395</v>
      </c>
      <c r="B355" s="9" t="s">
        <v>573</v>
      </c>
      <c r="C355" s="9" t="s">
        <v>573</v>
      </c>
      <c r="D355" s="10" t="s">
        <v>17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24</v>
      </c>
      <c r="M355" s="10">
        <v>399.43</v>
      </c>
      <c r="N355" s="26" t="s">
        <v>98</v>
      </c>
      <c r="O355" s="12" t="s">
        <v>98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396</v>
      </c>
      <c r="B356" s="14" t="s">
        <v>22</v>
      </c>
      <c r="C356" s="9" t="s">
        <v>22</v>
      </c>
      <c r="D356" s="15" t="s">
        <v>23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5" t="s">
        <v>98</v>
      </c>
      <c r="O356" s="17" t="s">
        <v>98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397</v>
      </c>
      <c r="B357" s="9" t="s">
        <v>27</v>
      </c>
      <c r="C357" s="9" t="s">
        <v>27</v>
      </c>
      <c r="D357" s="10" t="s">
        <v>35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19</v>
      </c>
      <c r="M357" s="10">
        <v>197.89</v>
      </c>
      <c r="N357" s="26" t="s">
        <v>16</v>
      </c>
      <c r="O357" s="12" t="s">
        <v>93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398</v>
      </c>
      <c r="B358" s="14" t="s">
        <v>12</v>
      </c>
      <c r="C358" s="9" t="s">
        <v>12</v>
      </c>
      <c r="D358" s="15" t="s">
        <v>23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5" t="s">
        <v>16</v>
      </c>
      <c r="O358" s="17" t="s">
        <v>50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399</v>
      </c>
      <c r="B359" s="9" t="s">
        <v>573</v>
      </c>
      <c r="C359" s="9" t="s">
        <v>573</v>
      </c>
      <c r="D359" s="10" t="s">
        <v>23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15</v>
      </c>
      <c r="M359" s="10">
        <v>743.04</v>
      </c>
      <c r="N359" s="26" t="s">
        <v>25</v>
      </c>
      <c r="O359" s="12" t="s">
        <v>25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400</v>
      </c>
      <c r="B360" s="14" t="s">
        <v>22</v>
      </c>
      <c r="C360" s="9" t="s">
        <v>22</v>
      </c>
      <c r="D360" s="15" t="s">
        <v>35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15</v>
      </c>
      <c r="M360" s="15">
        <v>315.05</v>
      </c>
      <c r="N360" s="15" t="s">
        <v>77</v>
      </c>
      <c r="O360" s="17" t="s">
        <v>77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401</v>
      </c>
      <c r="B361" s="9" t="s">
        <v>27</v>
      </c>
      <c r="C361" s="9" t="s">
        <v>27</v>
      </c>
      <c r="D361" s="10" t="s">
        <v>23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26" t="s">
        <v>98</v>
      </c>
      <c r="O361" s="12" t="s">
        <v>98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402</v>
      </c>
      <c r="B362" s="14" t="s">
        <v>12</v>
      </c>
      <c r="C362" s="9" t="s">
        <v>12</v>
      </c>
      <c r="D362" s="15" t="s">
        <v>35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15" t="s">
        <v>77</v>
      </c>
      <c r="O362" s="17" t="s">
        <v>53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403</v>
      </c>
      <c r="B363" s="9" t="s">
        <v>573</v>
      </c>
      <c r="C363" s="9" t="s">
        <v>573</v>
      </c>
      <c r="D363" s="10" t="s">
        <v>35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26" t="s">
        <v>25</v>
      </c>
      <c r="O363" s="12" t="s">
        <v>25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404</v>
      </c>
      <c r="B364" s="14" t="s">
        <v>22</v>
      </c>
      <c r="C364" s="9" t="s">
        <v>22</v>
      </c>
      <c r="D364" s="15" t="s">
        <v>35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15</v>
      </c>
      <c r="M364" s="15">
        <v>843.52</v>
      </c>
      <c r="N364" s="15" t="s">
        <v>98</v>
      </c>
      <c r="O364" s="17" t="s">
        <v>61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405</v>
      </c>
      <c r="B365" s="9" t="s">
        <v>27</v>
      </c>
      <c r="C365" s="9" t="s">
        <v>27</v>
      </c>
      <c r="D365" s="10" t="s">
        <v>17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26" t="s">
        <v>77</v>
      </c>
      <c r="O365" s="12" t="s">
        <v>20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406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15" t="s">
        <v>25</v>
      </c>
      <c r="O366" s="17" t="s">
        <v>25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407</v>
      </c>
      <c r="B367" s="9" t="s">
        <v>573</v>
      </c>
      <c r="C367" s="9" t="s">
        <v>573</v>
      </c>
      <c r="D367" s="10" t="s">
        <v>17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15</v>
      </c>
      <c r="M367" s="10">
        <v>482.97</v>
      </c>
      <c r="N367" s="26" t="s">
        <v>16</v>
      </c>
      <c r="O367" s="12" t="s">
        <v>93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408</v>
      </c>
      <c r="B368" s="14" t="s">
        <v>22</v>
      </c>
      <c r="C368" s="9" t="s">
        <v>22</v>
      </c>
      <c r="D368" s="15" t="s">
        <v>35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5" t="s">
        <v>33</v>
      </c>
      <c r="O368" s="17" t="s">
        <v>56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409</v>
      </c>
      <c r="B369" s="9" t="s">
        <v>27</v>
      </c>
      <c r="C369" s="9" t="s">
        <v>27</v>
      </c>
      <c r="D369" s="10" t="s">
        <v>13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15</v>
      </c>
      <c r="M369" s="10">
        <v>664.27</v>
      </c>
      <c r="N369" s="26" t="s">
        <v>98</v>
      </c>
      <c r="O369" s="12" t="s">
        <v>61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410</v>
      </c>
      <c r="B370" s="14" t="s">
        <v>12</v>
      </c>
      <c r="C370" s="9" t="s">
        <v>12</v>
      </c>
      <c r="D370" s="15" t="s">
        <v>13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15</v>
      </c>
      <c r="M370" s="15">
        <v>278.14999999999998</v>
      </c>
      <c r="N370" s="15" t="s">
        <v>77</v>
      </c>
      <c r="O370" s="17" t="s">
        <v>53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411</v>
      </c>
      <c r="B371" s="9" t="s">
        <v>573</v>
      </c>
      <c r="C371" s="9" t="s">
        <v>573</v>
      </c>
      <c r="D371" s="10" t="s">
        <v>35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24</v>
      </c>
      <c r="M371" s="10">
        <v>354.91</v>
      </c>
      <c r="N371" s="26" t="s">
        <v>98</v>
      </c>
      <c r="O371" s="12" t="s">
        <v>63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412</v>
      </c>
      <c r="B372" s="14" t="s">
        <v>22</v>
      </c>
      <c r="C372" s="9" t="s">
        <v>22</v>
      </c>
      <c r="D372" s="15" t="s">
        <v>13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5" t="s">
        <v>39</v>
      </c>
      <c r="O372" s="17" t="s">
        <v>66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413</v>
      </c>
      <c r="B373" s="9" t="s">
        <v>27</v>
      </c>
      <c r="C373" s="9" t="s">
        <v>27</v>
      </c>
      <c r="D373" s="10" t="s">
        <v>13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26" t="s">
        <v>39</v>
      </c>
      <c r="O373" s="12" t="s">
        <v>39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414</v>
      </c>
      <c r="B374" s="14" t="s">
        <v>12</v>
      </c>
      <c r="C374" s="9" t="s">
        <v>12</v>
      </c>
      <c r="D374" s="15" t="s">
        <v>17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15" t="s">
        <v>16</v>
      </c>
      <c r="O374" s="17" t="s">
        <v>16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415</v>
      </c>
      <c r="B375" s="9" t="s">
        <v>573</v>
      </c>
      <c r="C375" s="9" t="s">
        <v>573</v>
      </c>
      <c r="D375" s="10" t="s">
        <v>13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15</v>
      </c>
      <c r="M375" s="10">
        <v>116.53</v>
      </c>
      <c r="N375" s="26" t="s">
        <v>33</v>
      </c>
      <c r="O375" s="12" t="s">
        <v>33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416</v>
      </c>
      <c r="B376" s="14" t="s">
        <v>22</v>
      </c>
      <c r="C376" s="9" t="s">
        <v>22</v>
      </c>
      <c r="D376" s="15" t="s">
        <v>35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24</v>
      </c>
      <c r="M376" s="15">
        <v>181.06</v>
      </c>
      <c r="N376" s="15" t="s">
        <v>98</v>
      </c>
      <c r="O376" s="17" t="s">
        <v>98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417</v>
      </c>
      <c r="B377" s="9" t="s">
        <v>27</v>
      </c>
      <c r="C377" s="9" t="s">
        <v>27</v>
      </c>
      <c r="D377" s="10" t="s">
        <v>32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26" t="s">
        <v>98</v>
      </c>
      <c r="O377" s="12" t="s">
        <v>63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418</v>
      </c>
      <c r="B378" s="14" t="s">
        <v>12</v>
      </c>
      <c r="C378" s="9" t="s">
        <v>12</v>
      </c>
      <c r="D378" s="15" t="s">
        <v>32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5" t="s">
        <v>39</v>
      </c>
      <c r="O378" s="17" t="s">
        <v>39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419</v>
      </c>
      <c r="B379" s="9" t="s">
        <v>573</v>
      </c>
      <c r="C379" s="9" t="s">
        <v>573</v>
      </c>
      <c r="D379" s="10" t="s">
        <v>32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26" t="s">
        <v>25</v>
      </c>
      <c r="O379" s="12" t="s">
        <v>46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420</v>
      </c>
      <c r="B380" s="14" t="s">
        <v>22</v>
      </c>
      <c r="C380" s="9" t="s">
        <v>22</v>
      </c>
      <c r="D380" s="15" t="s">
        <v>35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5" t="s">
        <v>98</v>
      </c>
      <c r="O380" s="17" t="s">
        <v>63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421</v>
      </c>
      <c r="B381" s="9" t="s">
        <v>27</v>
      </c>
      <c r="C381" s="9" t="s">
        <v>27</v>
      </c>
      <c r="D381" s="10" t="s">
        <v>32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26" t="s">
        <v>98</v>
      </c>
      <c r="O381" s="12" t="s">
        <v>63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422</v>
      </c>
      <c r="B382" s="14" t="s">
        <v>12</v>
      </c>
      <c r="C382" s="9" t="s">
        <v>12</v>
      </c>
      <c r="D382" s="15" t="s">
        <v>17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19</v>
      </c>
      <c r="M382" s="15">
        <v>477.12</v>
      </c>
      <c r="N382" s="15" t="s">
        <v>33</v>
      </c>
      <c r="O382" s="17" t="s">
        <v>33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423</v>
      </c>
      <c r="B383" s="9" t="s">
        <v>573</v>
      </c>
      <c r="C383" s="9" t="s">
        <v>573</v>
      </c>
      <c r="D383" s="10" t="s">
        <v>35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26" t="s">
        <v>77</v>
      </c>
      <c r="O383" s="12" t="s">
        <v>77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424</v>
      </c>
      <c r="B384" s="14" t="s">
        <v>22</v>
      </c>
      <c r="C384" s="9" t="s">
        <v>22</v>
      </c>
      <c r="D384" s="15" t="s">
        <v>35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15" t="s">
        <v>25</v>
      </c>
      <c r="O384" s="17" t="s">
        <v>37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425</v>
      </c>
      <c r="B385" s="9" t="s">
        <v>27</v>
      </c>
      <c r="C385" s="9" t="s">
        <v>27</v>
      </c>
      <c r="D385" s="10" t="s">
        <v>35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26" t="s">
        <v>77</v>
      </c>
      <c r="O385" s="12" t="s">
        <v>53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426</v>
      </c>
      <c r="B386" s="14" t="s">
        <v>12</v>
      </c>
      <c r="C386" s="9" t="s">
        <v>12</v>
      </c>
      <c r="D386" s="15" t="s">
        <v>13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15" t="s">
        <v>16</v>
      </c>
      <c r="O386" s="17" t="s">
        <v>16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427</v>
      </c>
      <c r="B387" s="9" t="s">
        <v>573</v>
      </c>
      <c r="C387" s="9" t="s">
        <v>573</v>
      </c>
      <c r="D387" s="10" t="s">
        <v>13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26" t="s">
        <v>77</v>
      </c>
      <c r="O387" s="12" t="s">
        <v>77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428</v>
      </c>
      <c r="B388" s="14" t="s">
        <v>22</v>
      </c>
      <c r="C388" s="9" t="s">
        <v>22</v>
      </c>
      <c r="D388" s="15" t="s">
        <v>13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15" t="s">
        <v>16</v>
      </c>
      <c r="O388" s="17" t="s">
        <v>16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429</v>
      </c>
      <c r="B389" s="9" t="s">
        <v>27</v>
      </c>
      <c r="C389" s="9" t="s">
        <v>27</v>
      </c>
      <c r="D389" s="10" t="s">
        <v>23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26" t="s">
        <v>33</v>
      </c>
      <c r="O389" s="12" t="s">
        <v>28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430</v>
      </c>
      <c r="B390" s="14" t="s">
        <v>12</v>
      </c>
      <c r="C390" s="9" t="s">
        <v>12</v>
      </c>
      <c r="D390" s="15" t="s">
        <v>17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19</v>
      </c>
      <c r="M390" s="15">
        <v>666.29</v>
      </c>
      <c r="N390" s="15" t="s">
        <v>16</v>
      </c>
      <c r="O390" s="17" t="s">
        <v>93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431</v>
      </c>
      <c r="B391" s="9" t="s">
        <v>573</v>
      </c>
      <c r="C391" s="9" t="s">
        <v>573</v>
      </c>
      <c r="D391" s="10" t="s">
        <v>35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26" t="s">
        <v>25</v>
      </c>
      <c r="O391" s="12" t="s">
        <v>25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432</v>
      </c>
      <c r="B392" s="14" t="s">
        <v>22</v>
      </c>
      <c r="C392" s="9" t="s">
        <v>22</v>
      </c>
      <c r="D392" s="15" t="s">
        <v>35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15</v>
      </c>
      <c r="M392" s="15">
        <v>447.64</v>
      </c>
      <c r="N392" s="15" t="s">
        <v>33</v>
      </c>
      <c r="O392" s="17" t="s">
        <v>56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433</v>
      </c>
      <c r="B393" s="9" t="s">
        <v>27</v>
      </c>
      <c r="C393" s="9" t="s">
        <v>27</v>
      </c>
      <c r="D393" s="10" t="s">
        <v>13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19</v>
      </c>
      <c r="M393" s="10">
        <v>632.89</v>
      </c>
      <c r="N393" s="26" t="s">
        <v>98</v>
      </c>
      <c r="O393" s="12" t="s">
        <v>61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434</v>
      </c>
      <c r="B394" s="14" t="s">
        <v>12</v>
      </c>
      <c r="C394" s="9" t="s">
        <v>12</v>
      </c>
      <c r="D394" s="15" t="s">
        <v>35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19</v>
      </c>
      <c r="M394" s="15">
        <v>513.26</v>
      </c>
      <c r="N394" s="15" t="s">
        <v>39</v>
      </c>
      <c r="O394" s="17" t="s">
        <v>66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435</v>
      </c>
      <c r="B395" s="9" t="s">
        <v>573</v>
      </c>
      <c r="C395" s="9" t="s">
        <v>573</v>
      </c>
      <c r="D395" s="10" t="s">
        <v>35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24</v>
      </c>
      <c r="M395" s="10">
        <v>431.14</v>
      </c>
      <c r="N395" s="26" t="s">
        <v>98</v>
      </c>
      <c r="O395" s="12" t="s">
        <v>61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436</v>
      </c>
      <c r="B396" s="14" t="s">
        <v>22</v>
      </c>
      <c r="C396" s="9" t="s">
        <v>22</v>
      </c>
      <c r="D396" s="15" t="s">
        <v>32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15" t="s">
        <v>33</v>
      </c>
      <c r="O396" s="17" t="s">
        <v>28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437</v>
      </c>
      <c r="B397" s="9" t="s">
        <v>27</v>
      </c>
      <c r="C397" s="9" t="s">
        <v>27</v>
      </c>
      <c r="D397" s="10" t="s">
        <v>35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26" t="s">
        <v>25</v>
      </c>
      <c r="O397" s="12" t="s">
        <v>46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438</v>
      </c>
      <c r="B398" s="14" t="s">
        <v>12</v>
      </c>
      <c r="C398" s="9" t="s">
        <v>12</v>
      </c>
      <c r="D398" s="15" t="s">
        <v>23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15" t="s">
        <v>77</v>
      </c>
      <c r="O398" s="17" t="s">
        <v>20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439</v>
      </c>
      <c r="B399" s="9" t="s">
        <v>573</v>
      </c>
      <c r="C399" s="9" t="s">
        <v>573</v>
      </c>
      <c r="D399" s="10" t="s">
        <v>13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26" t="s">
        <v>25</v>
      </c>
      <c r="O399" s="12" t="s">
        <v>37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440</v>
      </c>
      <c r="B400" s="14" t="s">
        <v>22</v>
      </c>
      <c r="C400" s="9" t="s">
        <v>22</v>
      </c>
      <c r="D400" s="15" t="s">
        <v>17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19</v>
      </c>
      <c r="M400" s="15">
        <v>653.08000000000004</v>
      </c>
      <c r="N400" s="15" t="s">
        <v>33</v>
      </c>
      <c r="O400" s="17" t="s">
        <v>28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441</v>
      </c>
      <c r="B401" s="9" t="s">
        <v>27</v>
      </c>
      <c r="C401" s="9" t="s">
        <v>27</v>
      </c>
      <c r="D401" s="10" t="s">
        <v>17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26" t="s">
        <v>16</v>
      </c>
      <c r="O401" s="12" t="s">
        <v>50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442</v>
      </c>
      <c r="B402" s="14" t="s">
        <v>12</v>
      </c>
      <c r="C402" s="9" t="s">
        <v>12</v>
      </c>
      <c r="D402" s="15" t="s">
        <v>32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19</v>
      </c>
      <c r="M402" s="15">
        <v>476.38</v>
      </c>
      <c r="N402" s="15" t="s">
        <v>77</v>
      </c>
      <c r="O402" s="17" t="s">
        <v>53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443</v>
      </c>
      <c r="B403" s="9" t="s">
        <v>573</v>
      </c>
      <c r="C403" s="9" t="s">
        <v>573</v>
      </c>
      <c r="D403" s="10" t="s">
        <v>17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15</v>
      </c>
      <c r="M403" s="10">
        <v>339.95</v>
      </c>
      <c r="N403" s="26" t="s">
        <v>39</v>
      </c>
      <c r="O403" s="12" t="s">
        <v>66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444</v>
      </c>
      <c r="B404" s="14" t="s">
        <v>22</v>
      </c>
      <c r="C404" s="9" t="s">
        <v>22</v>
      </c>
      <c r="D404" s="15" t="s">
        <v>17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5" t="s">
        <v>77</v>
      </c>
      <c r="O404" s="17" t="s">
        <v>77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445</v>
      </c>
      <c r="B405" s="9" t="s">
        <v>27</v>
      </c>
      <c r="C405" s="9" t="s">
        <v>27</v>
      </c>
      <c r="D405" s="10" t="s">
        <v>13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15</v>
      </c>
      <c r="M405" s="10">
        <v>300.44</v>
      </c>
      <c r="N405" s="26" t="s">
        <v>16</v>
      </c>
      <c r="O405" s="12" t="s">
        <v>93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446</v>
      </c>
      <c r="B406" s="14" t="s">
        <v>12</v>
      </c>
      <c r="C406" s="9" t="s">
        <v>12</v>
      </c>
      <c r="D406" s="15" t="s">
        <v>13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24</v>
      </c>
      <c r="M406" s="15">
        <v>138.59</v>
      </c>
      <c r="N406" s="15" t="s">
        <v>77</v>
      </c>
      <c r="O406" s="17" t="s">
        <v>77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447</v>
      </c>
      <c r="B407" s="9" t="s">
        <v>573</v>
      </c>
      <c r="C407" s="9" t="s">
        <v>573</v>
      </c>
      <c r="D407" s="10" t="s">
        <v>23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26" t="s">
        <v>16</v>
      </c>
      <c r="O407" s="12" t="s">
        <v>50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448</v>
      </c>
      <c r="B408" s="14" t="s">
        <v>22</v>
      </c>
      <c r="C408" s="9" t="s">
        <v>22</v>
      </c>
      <c r="D408" s="15" t="s">
        <v>32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15" t="s">
        <v>98</v>
      </c>
      <c r="O408" s="17" t="s">
        <v>98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449</v>
      </c>
      <c r="B409" s="9" t="s">
        <v>27</v>
      </c>
      <c r="C409" s="9" t="s">
        <v>27</v>
      </c>
      <c r="D409" s="10" t="s">
        <v>17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26" t="s">
        <v>25</v>
      </c>
      <c r="O409" s="12" t="s">
        <v>25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450</v>
      </c>
      <c r="B410" s="14" t="s">
        <v>12</v>
      </c>
      <c r="C410" s="9" t="s">
        <v>12</v>
      </c>
      <c r="D410" s="15" t="s">
        <v>23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15" t="s">
        <v>25</v>
      </c>
      <c r="O410" s="17" t="s">
        <v>25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451</v>
      </c>
      <c r="B411" s="9" t="s">
        <v>573</v>
      </c>
      <c r="C411" s="9" t="s">
        <v>573</v>
      </c>
      <c r="D411" s="10" t="s">
        <v>32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26" t="s">
        <v>16</v>
      </c>
      <c r="O411" s="12" t="s">
        <v>50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452</v>
      </c>
      <c r="B412" s="14" t="s">
        <v>22</v>
      </c>
      <c r="C412" s="9" t="s">
        <v>22</v>
      </c>
      <c r="D412" s="15" t="s">
        <v>17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5" t="s">
        <v>98</v>
      </c>
      <c r="O412" s="17" t="s">
        <v>63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453</v>
      </c>
      <c r="B413" s="9" t="s">
        <v>27</v>
      </c>
      <c r="C413" s="9" t="s">
        <v>27</v>
      </c>
      <c r="D413" s="10" t="s">
        <v>17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26" t="s">
        <v>16</v>
      </c>
      <c r="O413" s="12" t="s">
        <v>50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454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15" t="s">
        <v>77</v>
      </c>
      <c r="O414" s="17" t="s">
        <v>53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455</v>
      </c>
      <c r="B415" s="9" t="s">
        <v>573</v>
      </c>
      <c r="C415" s="9" t="s">
        <v>573</v>
      </c>
      <c r="D415" s="10" t="s">
        <v>35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26" t="s">
        <v>25</v>
      </c>
      <c r="O415" s="12" t="s">
        <v>37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456</v>
      </c>
      <c r="B416" s="14" t="s">
        <v>22</v>
      </c>
      <c r="C416" s="9" t="s">
        <v>22</v>
      </c>
      <c r="D416" s="15" t="s">
        <v>32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15" t="s">
        <v>25</v>
      </c>
      <c r="O416" s="17" t="s">
        <v>46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457</v>
      </c>
      <c r="B417" s="9" t="s">
        <v>27</v>
      </c>
      <c r="C417" s="9" t="s">
        <v>27</v>
      </c>
      <c r="D417" s="10" t="s">
        <v>17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15</v>
      </c>
      <c r="M417" s="10">
        <v>954.08</v>
      </c>
      <c r="N417" s="26" t="s">
        <v>39</v>
      </c>
      <c r="O417" s="12" t="s">
        <v>66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458</v>
      </c>
      <c r="B418" s="14" t="s">
        <v>12</v>
      </c>
      <c r="C418" s="9" t="s">
        <v>12</v>
      </c>
      <c r="D418" s="15" t="s">
        <v>32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15" t="s">
        <v>16</v>
      </c>
      <c r="O418" s="17" t="s">
        <v>50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459</v>
      </c>
      <c r="B419" s="9" t="s">
        <v>573</v>
      </c>
      <c r="C419" s="9" t="s">
        <v>573</v>
      </c>
      <c r="D419" s="10" t="s">
        <v>23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26" t="s">
        <v>33</v>
      </c>
      <c r="O419" s="12" t="s">
        <v>33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460</v>
      </c>
      <c r="B420" s="14" t="s">
        <v>22</v>
      </c>
      <c r="C420" s="9" t="s">
        <v>22</v>
      </c>
      <c r="D420" s="15" t="s">
        <v>23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15" t="s">
        <v>98</v>
      </c>
      <c r="O420" s="17" t="s">
        <v>61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461</v>
      </c>
      <c r="B421" s="9" t="s">
        <v>27</v>
      </c>
      <c r="C421" s="9" t="s">
        <v>27</v>
      </c>
      <c r="D421" s="10" t="s">
        <v>35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26" t="s">
        <v>16</v>
      </c>
      <c r="O421" s="12" t="s">
        <v>50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462</v>
      </c>
      <c r="B422" s="14" t="s">
        <v>12</v>
      </c>
      <c r="C422" s="9" t="s">
        <v>12</v>
      </c>
      <c r="D422" s="15" t="s">
        <v>17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5" t="s">
        <v>98</v>
      </c>
      <c r="O422" s="17" t="s">
        <v>61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463</v>
      </c>
      <c r="B423" s="9" t="s">
        <v>573</v>
      </c>
      <c r="C423" s="9" t="s">
        <v>573</v>
      </c>
      <c r="D423" s="10" t="s">
        <v>13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24</v>
      </c>
      <c r="M423" s="10">
        <v>1006.56</v>
      </c>
      <c r="N423" s="26" t="s">
        <v>77</v>
      </c>
      <c r="O423" s="12" t="s">
        <v>77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464</v>
      </c>
      <c r="B424" s="14" t="s">
        <v>22</v>
      </c>
      <c r="C424" s="9" t="s">
        <v>22</v>
      </c>
      <c r="D424" s="15" t="s">
        <v>17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15" t="s">
        <v>98</v>
      </c>
      <c r="O424" s="17" t="s">
        <v>61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465</v>
      </c>
      <c r="B425" s="9" t="s">
        <v>27</v>
      </c>
      <c r="C425" s="9" t="s">
        <v>27</v>
      </c>
      <c r="D425" s="10" t="s">
        <v>32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26" t="s">
        <v>16</v>
      </c>
      <c r="O425" s="12" t="s">
        <v>16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466</v>
      </c>
      <c r="B426" s="14" t="s">
        <v>12</v>
      </c>
      <c r="C426" s="9" t="s">
        <v>12</v>
      </c>
      <c r="D426" s="15" t="s">
        <v>23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15" t="s">
        <v>33</v>
      </c>
      <c r="O426" s="17" t="s">
        <v>33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467</v>
      </c>
      <c r="B427" s="9" t="s">
        <v>573</v>
      </c>
      <c r="C427" s="9" t="s">
        <v>573</v>
      </c>
      <c r="D427" s="10" t="s">
        <v>32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19</v>
      </c>
      <c r="M427" s="10">
        <v>1237.73</v>
      </c>
      <c r="N427" s="26" t="s">
        <v>98</v>
      </c>
      <c r="O427" s="12" t="s">
        <v>61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468</v>
      </c>
      <c r="B428" s="14" t="s">
        <v>22</v>
      </c>
      <c r="C428" s="9" t="s">
        <v>22</v>
      </c>
      <c r="D428" s="15" t="s">
        <v>35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15" t="s">
        <v>77</v>
      </c>
      <c r="O428" s="17" t="s">
        <v>53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469</v>
      </c>
      <c r="B429" s="9" t="s">
        <v>27</v>
      </c>
      <c r="C429" s="9" t="s">
        <v>27</v>
      </c>
      <c r="D429" s="10" t="s">
        <v>23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24</v>
      </c>
      <c r="M429" s="10">
        <v>162.33000000000001</v>
      </c>
      <c r="N429" s="26" t="s">
        <v>77</v>
      </c>
      <c r="O429" s="12" t="s">
        <v>20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470</v>
      </c>
      <c r="B430" s="14" t="s">
        <v>12</v>
      </c>
      <c r="C430" s="9" t="s">
        <v>12</v>
      </c>
      <c r="D430" s="15" t="s">
        <v>13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15</v>
      </c>
      <c r="M430" s="15">
        <v>639.24</v>
      </c>
      <c r="N430" s="15" t="s">
        <v>77</v>
      </c>
      <c r="O430" s="17" t="s">
        <v>77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471</v>
      </c>
      <c r="B431" s="9" t="s">
        <v>573</v>
      </c>
      <c r="C431" s="9" t="s">
        <v>573</v>
      </c>
      <c r="D431" s="10" t="s">
        <v>23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26" t="s">
        <v>16</v>
      </c>
      <c r="O431" s="12" t="s">
        <v>50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472</v>
      </c>
      <c r="B432" s="14" t="s">
        <v>22</v>
      </c>
      <c r="C432" s="9" t="s">
        <v>22</v>
      </c>
      <c r="D432" s="15" t="s">
        <v>17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24</v>
      </c>
      <c r="M432" s="15">
        <v>558.38</v>
      </c>
      <c r="N432" s="15" t="s">
        <v>25</v>
      </c>
      <c r="O432" s="17" t="s">
        <v>37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473</v>
      </c>
      <c r="B433" s="9" t="s">
        <v>27</v>
      </c>
      <c r="C433" s="9" t="s">
        <v>27</v>
      </c>
      <c r="D433" s="10" t="s">
        <v>17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15</v>
      </c>
      <c r="M433" s="10">
        <v>728.97</v>
      </c>
      <c r="N433" s="26" t="s">
        <v>16</v>
      </c>
      <c r="O433" s="12" t="s">
        <v>93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474</v>
      </c>
      <c r="B434" s="14" t="s">
        <v>12</v>
      </c>
      <c r="C434" s="9" t="s">
        <v>12</v>
      </c>
      <c r="D434" s="15" t="s">
        <v>23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15</v>
      </c>
      <c r="M434" s="15">
        <v>920.08</v>
      </c>
      <c r="N434" s="15" t="s">
        <v>39</v>
      </c>
      <c r="O434" s="17" t="s">
        <v>42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475</v>
      </c>
      <c r="B435" s="9" t="s">
        <v>573</v>
      </c>
      <c r="C435" s="9" t="s">
        <v>573</v>
      </c>
      <c r="D435" s="10" t="s">
        <v>35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26" t="s">
        <v>39</v>
      </c>
      <c r="O435" s="12" t="s">
        <v>42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476</v>
      </c>
      <c r="B436" s="14" t="s">
        <v>22</v>
      </c>
      <c r="C436" s="9" t="s">
        <v>22</v>
      </c>
      <c r="D436" s="15" t="s">
        <v>17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15" t="s">
        <v>98</v>
      </c>
      <c r="O436" s="17" t="s">
        <v>63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477</v>
      </c>
      <c r="B437" s="9" t="s">
        <v>27</v>
      </c>
      <c r="C437" s="9" t="s">
        <v>27</v>
      </c>
      <c r="D437" s="10" t="s">
        <v>17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26" t="s">
        <v>98</v>
      </c>
      <c r="O437" s="12" t="s">
        <v>98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478</v>
      </c>
      <c r="B438" s="14" t="s">
        <v>12</v>
      </c>
      <c r="C438" s="9" t="s">
        <v>12</v>
      </c>
      <c r="D438" s="15" t="s">
        <v>13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5" t="s">
        <v>25</v>
      </c>
      <c r="O438" s="17" t="s">
        <v>37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479</v>
      </c>
      <c r="B439" s="9" t="s">
        <v>573</v>
      </c>
      <c r="C439" s="9" t="s">
        <v>573</v>
      </c>
      <c r="D439" s="10" t="s">
        <v>23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24</v>
      </c>
      <c r="M439" s="10">
        <v>1202.19</v>
      </c>
      <c r="N439" s="26" t="s">
        <v>77</v>
      </c>
      <c r="O439" s="12" t="s">
        <v>77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480</v>
      </c>
      <c r="B440" s="14" t="s">
        <v>22</v>
      </c>
      <c r="C440" s="9" t="s">
        <v>22</v>
      </c>
      <c r="D440" s="15" t="s">
        <v>17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24</v>
      </c>
      <c r="M440" s="15">
        <v>411.68</v>
      </c>
      <c r="N440" s="15" t="s">
        <v>98</v>
      </c>
      <c r="O440" s="17" t="s">
        <v>98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481</v>
      </c>
      <c r="B441" s="9" t="s">
        <v>27</v>
      </c>
      <c r="C441" s="9" t="s">
        <v>27</v>
      </c>
      <c r="D441" s="10" t="s">
        <v>35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26" t="s">
        <v>39</v>
      </c>
      <c r="O441" s="12" t="s">
        <v>39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482</v>
      </c>
      <c r="B442" s="14" t="s">
        <v>12</v>
      </c>
      <c r="C442" s="9" t="s">
        <v>12</v>
      </c>
      <c r="D442" s="15" t="s">
        <v>32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5" t="s">
        <v>39</v>
      </c>
      <c r="O442" s="17" t="s">
        <v>66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483</v>
      </c>
      <c r="B443" s="9" t="s">
        <v>573</v>
      </c>
      <c r="C443" s="9" t="s">
        <v>573</v>
      </c>
      <c r="D443" s="10" t="s">
        <v>23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15</v>
      </c>
      <c r="M443" s="10">
        <v>887.13</v>
      </c>
      <c r="N443" s="26" t="s">
        <v>98</v>
      </c>
      <c r="O443" s="12" t="s">
        <v>98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484</v>
      </c>
      <c r="B444" s="14" t="s">
        <v>22</v>
      </c>
      <c r="C444" s="9" t="s">
        <v>22</v>
      </c>
      <c r="D444" s="15" t="s">
        <v>13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15" t="s">
        <v>25</v>
      </c>
      <c r="O444" s="17" t="s">
        <v>46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485</v>
      </c>
      <c r="B445" s="9" t="s">
        <v>27</v>
      </c>
      <c r="C445" s="9" t="s">
        <v>27</v>
      </c>
      <c r="D445" s="10" t="s">
        <v>17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26" t="s">
        <v>16</v>
      </c>
      <c r="O445" s="12" t="s">
        <v>50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486</v>
      </c>
      <c r="B446" s="14" t="s">
        <v>12</v>
      </c>
      <c r="C446" s="9" t="s">
        <v>12</v>
      </c>
      <c r="D446" s="15" t="s">
        <v>35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5" t="s">
        <v>98</v>
      </c>
      <c r="O446" s="17" t="s">
        <v>63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487</v>
      </c>
      <c r="B447" s="9" t="s">
        <v>573</v>
      </c>
      <c r="C447" s="9" t="s">
        <v>573</v>
      </c>
      <c r="D447" s="10" t="s">
        <v>23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15</v>
      </c>
      <c r="M447" s="10">
        <v>537.94000000000005</v>
      </c>
      <c r="N447" s="26" t="s">
        <v>39</v>
      </c>
      <c r="O447" s="12" t="s">
        <v>66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488</v>
      </c>
      <c r="B448" s="14" t="s">
        <v>22</v>
      </c>
      <c r="C448" s="9" t="s">
        <v>22</v>
      </c>
      <c r="D448" s="15" t="s">
        <v>35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15</v>
      </c>
      <c r="M448" s="15">
        <v>426.36</v>
      </c>
      <c r="N448" s="15" t="s">
        <v>98</v>
      </c>
      <c r="O448" s="17" t="s">
        <v>63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489</v>
      </c>
      <c r="B449" s="9" t="s">
        <v>27</v>
      </c>
      <c r="C449" s="9" t="s">
        <v>27</v>
      </c>
      <c r="D449" s="10" t="s">
        <v>35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26" t="s">
        <v>77</v>
      </c>
      <c r="O449" s="12" t="s">
        <v>20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490</v>
      </c>
      <c r="B450" s="14" t="s">
        <v>12</v>
      </c>
      <c r="C450" s="9" t="s">
        <v>12</v>
      </c>
      <c r="D450" s="15" t="s">
        <v>13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19</v>
      </c>
      <c r="M450" s="15">
        <v>387.87</v>
      </c>
      <c r="N450" s="15" t="s">
        <v>33</v>
      </c>
      <c r="O450" s="17" t="s">
        <v>33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491</v>
      </c>
      <c r="B451" s="9" t="s">
        <v>573</v>
      </c>
      <c r="C451" s="9" t="s">
        <v>573</v>
      </c>
      <c r="D451" s="10" t="s">
        <v>23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26" t="s">
        <v>33</v>
      </c>
      <c r="O451" s="12" t="s">
        <v>28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492</v>
      </c>
      <c r="B452" s="14" t="s">
        <v>22</v>
      </c>
      <c r="C452" s="9" t="s">
        <v>22</v>
      </c>
      <c r="D452" s="15" t="s">
        <v>17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15" t="s">
        <v>25</v>
      </c>
      <c r="O452" s="17" t="s">
        <v>46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493</v>
      </c>
      <c r="B453" s="9" t="s">
        <v>27</v>
      </c>
      <c r="C453" s="9" t="s">
        <v>27</v>
      </c>
      <c r="D453" s="10" t="s">
        <v>13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19</v>
      </c>
      <c r="M453" s="10">
        <v>79.13</v>
      </c>
      <c r="N453" s="26" t="s">
        <v>98</v>
      </c>
      <c r="O453" s="12" t="s">
        <v>61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494</v>
      </c>
      <c r="B454" s="14" t="s">
        <v>12</v>
      </c>
      <c r="C454" s="9" t="s">
        <v>12</v>
      </c>
      <c r="D454" s="15" t="s">
        <v>17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24</v>
      </c>
      <c r="M454" s="15">
        <v>115.42</v>
      </c>
      <c r="N454" s="15" t="s">
        <v>16</v>
      </c>
      <c r="O454" s="17" t="s">
        <v>93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495</v>
      </c>
      <c r="B455" s="9" t="s">
        <v>573</v>
      </c>
      <c r="C455" s="9" t="s">
        <v>573</v>
      </c>
      <c r="D455" s="10" t="s">
        <v>32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26" t="s">
        <v>16</v>
      </c>
      <c r="O455" s="12" t="s">
        <v>50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496</v>
      </c>
      <c r="B456" s="14" t="s">
        <v>22</v>
      </c>
      <c r="C456" s="9" t="s">
        <v>22</v>
      </c>
      <c r="D456" s="15" t="s">
        <v>35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15" t="s">
        <v>39</v>
      </c>
      <c r="O456" s="17" t="s">
        <v>39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497</v>
      </c>
      <c r="B457" s="9" t="s">
        <v>27</v>
      </c>
      <c r="C457" s="9" t="s">
        <v>27</v>
      </c>
      <c r="D457" s="10" t="s">
        <v>32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15</v>
      </c>
      <c r="M457" s="10">
        <v>482.71</v>
      </c>
      <c r="N457" s="26" t="s">
        <v>33</v>
      </c>
      <c r="O457" s="12" t="s">
        <v>33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498</v>
      </c>
      <c r="B458" s="14" t="s">
        <v>12</v>
      </c>
      <c r="C458" s="9" t="s">
        <v>12</v>
      </c>
      <c r="D458" s="15" t="s">
        <v>35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15" t="s">
        <v>98</v>
      </c>
      <c r="O458" s="17" t="s">
        <v>98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499</v>
      </c>
      <c r="B459" s="9" t="s">
        <v>573</v>
      </c>
      <c r="C459" s="9" t="s">
        <v>573</v>
      </c>
      <c r="D459" s="10" t="s">
        <v>13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19</v>
      </c>
      <c r="M459" s="10">
        <v>659.46</v>
      </c>
      <c r="N459" s="26" t="s">
        <v>16</v>
      </c>
      <c r="O459" s="12" t="s">
        <v>16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500</v>
      </c>
      <c r="B460" s="14" t="s">
        <v>22</v>
      </c>
      <c r="C460" s="9" t="s">
        <v>22</v>
      </c>
      <c r="D460" s="15" t="s">
        <v>17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15</v>
      </c>
      <c r="M460" s="15">
        <v>857.48</v>
      </c>
      <c r="N460" s="15" t="s">
        <v>77</v>
      </c>
      <c r="O460" s="17" t="s">
        <v>53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501</v>
      </c>
      <c r="B461" s="9" t="s">
        <v>27</v>
      </c>
      <c r="C461" s="9" t="s">
        <v>27</v>
      </c>
      <c r="D461" s="10" t="s">
        <v>17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26" t="s">
        <v>98</v>
      </c>
      <c r="O461" s="12" t="s">
        <v>63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502</v>
      </c>
      <c r="B462" s="14" t="s">
        <v>12</v>
      </c>
      <c r="C462" s="9" t="s">
        <v>12</v>
      </c>
      <c r="D462" s="15" t="s">
        <v>13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24</v>
      </c>
      <c r="M462" s="15">
        <v>614.4</v>
      </c>
      <c r="N462" s="15" t="s">
        <v>16</v>
      </c>
      <c r="O462" s="17" t="s">
        <v>50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503</v>
      </c>
      <c r="B463" s="9" t="s">
        <v>573</v>
      </c>
      <c r="C463" s="9" t="s">
        <v>573</v>
      </c>
      <c r="D463" s="10" t="s">
        <v>23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26" t="s">
        <v>39</v>
      </c>
      <c r="O463" s="12" t="s">
        <v>66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504</v>
      </c>
      <c r="B464" s="14" t="s">
        <v>22</v>
      </c>
      <c r="C464" s="9" t="s">
        <v>22</v>
      </c>
      <c r="D464" s="15" t="s">
        <v>32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5" t="s">
        <v>16</v>
      </c>
      <c r="O464" s="17" t="s">
        <v>50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505</v>
      </c>
      <c r="B465" s="9" t="s">
        <v>27</v>
      </c>
      <c r="C465" s="9" t="s">
        <v>27</v>
      </c>
      <c r="D465" s="10" t="s">
        <v>32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19</v>
      </c>
      <c r="M465" s="10">
        <v>668.21</v>
      </c>
      <c r="N465" s="26" t="s">
        <v>25</v>
      </c>
      <c r="O465" s="12" t="s">
        <v>25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506</v>
      </c>
      <c r="B466" s="14" t="s">
        <v>12</v>
      </c>
      <c r="C466" s="9" t="s">
        <v>12</v>
      </c>
      <c r="D466" s="15" t="s">
        <v>17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24</v>
      </c>
      <c r="M466" s="15">
        <v>551.62</v>
      </c>
      <c r="N466" s="15" t="s">
        <v>98</v>
      </c>
      <c r="O466" s="17" t="s">
        <v>98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507</v>
      </c>
      <c r="B467" s="9" t="s">
        <v>573</v>
      </c>
      <c r="C467" s="9" t="s">
        <v>573</v>
      </c>
      <c r="D467" s="10" t="s">
        <v>17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15</v>
      </c>
      <c r="M467" s="10">
        <v>791.13</v>
      </c>
      <c r="N467" s="26" t="s">
        <v>77</v>
      </c>
      <c r="O467" s="12" t="s">
        <v>53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508</v>
      </c>
      <c r="B468" s="14" t="s">
        <v>22</v>
      </c>
      <c r="C468" s="9" t="s">
        <v>22</v>
      </c>
      <c r="D468" s="15" t="s">
        <v>17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15" t="s">
        <v>98</v>
      </c>
      <c r="O468" s="17" t="s">
        <v>63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509</v>
      </c>
      <c r="B469" s="9" t="s">
        <v>27</v>
      </c>
      <c r="C469" s="9" t="s">
        <v>27</v>
      </c>
      <c r="D469" s="10" t="s">
        <v>13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26" t="s">
        <v>77</v>
      </c>
      <c r="O469" s="12" t="s">
        <v>53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510</v>
      </c>
      <c r="B470" s="14" t="s">
        <v>12</v>
      </c>
      <c r="C470" s="9" t="s">
        <v>12</v>
      </c>
      <c r="D470" s="15" t="s">
        <v>23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15" t="s">
        <v>39</v>
      </c>
      <c r="O470" s="17" t="s">
        <v>42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511</v>
      </c>
      <c r="B471" s="9" t="s">
        <v>573</v>
      </c>
      <c r="C471" s="9" t="s">
        <v>573</v>
      </c>
      <c r="D471" s="10" t="s">
        <v>32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19</v>
      </c>
      <c r="M471" s="10">
        <v>53.78</v>
      </c>
      <c r="N471" s="26" t="s">
        <v>25</v>
      </c>
      <c r="O471" s="12" t="s">
        <v>25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512</v>
      </c>
      <c r="B472" s="14" t="s">
        <v>22</v>
      </c>
      <c r="C472" s="9" t="s">
        <v>22</v>
      </c>
      <c r="D472" s="15" t="s">
        <v>35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24</v>
      </c>
      <c r="M472" s="15">
        <v>397.26</v>
      </c>
      <c r="N472" s="15" t="s">
        <v>98</v>
      </c>
      <c r="O472" s="17" t="s">
        <v>98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513</v>
      </c>
      <c r="B473" s="9" t="s">
        <v>27</v>
      </c>
      <c r="C473" s="9" t="s">
        <v>27</v>
      </c>
      <c r="D473" s="10" t="s">
        <v>13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26" t="s">
        <v>39</v>
      </c>
      <c r="O473" s="12" t="s">
        <v>39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514</v>
      </c>
      <c r="B474" s="14" t="s">
        <v>12</v>
      </c>
      <c r="C474" s="9" t="s">
        <v>12</v>
      </c>
      <c r="D474" s="15" t="s">
        <v>32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15" t="s">
        <v>77</v>
      </c>
      <c r="O474" s="17" t="s">
        <v>53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515</v>
      </c>
      <c r="B475" s="9" t="s">
        <v>573</v>
      </c>
      <c r="C475" s="9" t="s">
        <v>573</v>
      </c>
      <c r="D475" s="10" t="s">
        <v>23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24</v>
      </c>
      <c r="M475" s="10">
        <v>512.98</v>
      </c>
      <c r="N475" s="26" t="s">
        <v>33</v>
      </c>
      <c r="O475" s="12" t="s">
        <v>56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516</v>
      </c>
      <c r="B476" s="14" t="s">
        <v>22</v>
      </c>
      <c r="C476" s="9" t="s">
        <v>22</v>
      </c>
      <c r="D476" s="15" t="s">
        <v>13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15" t="s">
        <v>16</v>
      </c>
      <c r="O476" s="17" t="s">
        <v>16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517</v>
      </c>
      <c r="B477" s="9" t="s">
        <v>27</v>
      </c>
      <c r="C477" s="9" t="s">
        <v>27</v>
      </c>
      <c r="D477" s="10" t="s">
        <v>32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15</v>
      </c>
      <c r="M477" s="10">
        <v>191.82</v>
      </c>
      <c r="N477" s="26" t="s">
        <v>98</v>
      </c>
      <c r="O477" s="12" t="s">
        <v>63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518</v>
      </c>
      <c r="B478" s="14" t="s">
        <v>12</v>
      </c>
      <c r="C478" s="9" t="s">
        <v>12</v>
      </c>
      <c r="D478" s="15" t="s">
        <v>13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15</v>
      </c>
      <c r="M478" s="15">
        <v>57.92</v>
      </c>
      <c r="N478" s="15" t="s">
        <v>25</v>
      </c>
      <c r="O478" s="17" t="s">
        <v>25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519</v>
      </c>
      <c r="B479" s="9" t="s">
        <v>573</v>
      </c>
      <c r="C479" s="9" t="s">
        <v>573</v>
      </c>
      <c r="D479" s="10" t="s">
        <v>32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26" t="s">
        <v>39</v>
      </c>
      <c r="O479" s="12" t="s">
        <v>42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520</v>
      </c>
      <c r="B480" s="14" t="s">
        <v>22</v>
      </c>
      <c r="C480" s="9" t="s">
        <v>22</v>
      </c>
      <c r="D480" s="15" t="s">
        <v>32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24</v>
      </c>
      <c r="M480" s="15">
        <v>485.96</v>
      </c>
      <c r="N480" s="15" t="s">
        <v>39</v>
      </c>
      <c r="O480" s="17" t="s">
        <v>66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521</v>
      </c>
      <c r="B481" s="9" t="s">
        <v>27</v>
      </c>
      <c r="C481" s="9" t="s">
        <v>27</v>
      </c>
      <c r="D481" s="10" t="s">
        <v>23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26" t="s">
        <v>98</v>
      </c>
      <c r="O481" s="12" t="s">
        <v>98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522</v>
      </c>
      <c r="B482" s="14" t="s">
        <v>12</v>
      </c>
      <c r="C482" s="9" t="s">
        <v>12</v>
      </c>
      <c r="D482" s="15" t="s">
        <v>35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24</v>
      </c>
      <c r="M482" s="15">
        <v>226.6</v>
      </c>
      <c r="N482" s="15" t="s">
        <v>98</v>
      </c>
      <c r="O482" s="17" t="s">
        <v>61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523</v>
      </c>
      <c r="B483" s="9" t="s">
        <v>573</v>
      </c>
      <c r="C483" s="9" t="s">
        <v>573</v>
      </c>
      <c r="D483" s="10" t="s">
        <v>23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15</v>
      </c>
      <c r="M483" s="10">
        <v>778.64</v>
      </c>
      <c r="N483" s="26" t="s">
        <v>33</v>
      </c>
      <c r="O483" s="12" t="s">
        <v>56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524</v>
      </c>
      <c r="B484" s="14" t="s">
        <v>22</v>
      </c>
      <c r="C484" s="9" t="s">
        <v>22</v>
      </c>
      <c r="D484" s="15" t="s">
        <v>32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15" t="s">
        <v>98</v>
      </c>
      <c r="O484" s="17" t="s">
        <v>63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525</v>
      </c>
      <c r="B485" s="9" t="s">
        <v>27</v>
      </c>
      <c r="C485" s="9" t="s">
        <v>27</v>
      </c>
      <c r="D485" s="10" t="s">
        <v>13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19</v>
      </c>
      <c r="M485" s="10">
        <v>74.44</v>
      </c>
      <c r="N485" s="26" t="s">
        <v>16</v>
      </c>
      <c r="O485" s="12" t="s">
        <v>93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526</v>
      </c>
      <c r="B486" s="14" t="s">
        <v>12</v>
      </c>
      <c r="C486" s="9" t="s">
        <v>12</v>
      </c>
      <c r="D486" s="15" t="s">
        <v>23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19</v>
      </c>
      <c r="M486" s="15">
        <v>317.56</v>
      </c>
      <c r="N486" s="15" t="s">
        <v>98</v>
      </c>
      <c r="O486" s="17" t="s">
        <v>61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527</v>
      </c>
      <c r="B487" s="9" t="s">
        <v>573</v>
      </c>
      <c r="C487" s="9" t="s">
        <v>573</v>
      </c>
      <c r="D487" s="10" t="s">
        <v>35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24</v>
      </c>
      <c r="M487" s="10">
        <v>731.64</v>
      </c>
      <c r="N487" s="26" t="s">
        <v>98</v>
      </c>
      <c r="O487" s="12" t="s">
        <v>98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528</v>
      </c>
      <c r="B488" s="14" t="s">
        <v>22</v>
      </c>
      <c r="C488" s="9" t="s">
        <v>22</v>
      </c>
      <c r="D488" s="15" t="s">
        <v>32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19</v>
      </c>
      <c r="M488" s="15">
        <v>344.48</v>
      </c>
      <c r="N488" s="15" t="s">
        <v>25</v>
      </c>
      <c r="O488" s="17" t="s">
        <v>25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529</v>
      </c>
      <c r="B489" s="9" t="s">
        <v>27</v>
      </c>
      <c r="C489" s="9" t="s">
        <v>27</v>
      </c>
      <c r="D489" s="10" t="s">
        <v>23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26" t="s">
        <v>33</v>
      </c>
      <c r="O489" s="12" t="s">
        <v>28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530</v>
      </c>
      <c r="B490" s="14" t="s">
        <v>12</v>
      </c>
      <c r="C490" s="9" t="s">
        <v>12</v>
      </c>
      <c r="D490" s="15" t="s">
        <v>23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19</v>
      </c>
      <c r="M490" s="15">
        <v>1091.53</v>
      </c>
      <c r="N490" s="15" t="s">
        <v>25</v>
      </c>
      <c r="O490" s="17" t="s">
        <v>46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531</v>
      </c>
      <c r="B491" s="9" t="s">
        <v>573</v>
      </c>
      <c r="C491" s="9" t="s">
        <v>573</v>
      </c>
      <c r="D491" s="10" t="s">
        <v>23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24</v>
      </c>
      <c r="M491" s="10">
        <v>264.99</v>
      </c>
      <c r="N491" s="26" t="s">
        <v>77</v>
      </c>
      <c r="O491" s="12" t="s">
        <v>77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532</v>
      </c>
      <c r="B492" s="14" t="s">
        <v>22</v>
      </c>
      <c r="C492" s="9" t="s">
        <v>22</v>
      </c>
      <c r="D492" s="15" t="s">
        <v>23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15" t="s">
        <v>33</v>
      </c>
      <c r="O492" s="17" t="s">
        <v>28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533</v>
      </c>
      <c r="B493" s="9" t="s">
        <v>27</v>
      </c>
      <c r="C493" s="9" t="s">
        <v>27</v>
      </c>
      <c r="D493" s="10" t="s">
        <v>13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26" t="s">
        <v>39</v>
      </c>
      <c r="O493" s="12" t="s">
        <v>42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534</v>
      </c>
      <c r="B494" s="14" t="s">
        <v>12</v>
      </c>
      <c r="C494" s="9" t="s">
        <v>12</v>
      </c>
      <c r="D494" s="15" t="s">
        <v>35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15" t="s">
        <v>25</v>
      </c>
      <c r="O494" s="17" t="s">
        <v>46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535</v>
      </c>
      <c r="B495" s="9" t="s">
        <v>573</v>
      </c>
      <c r="C495" s="9" t="s">
        <v>573</v>
      </c>
      <c r="D495" s="10" t="s">
        <v>35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26" t="s">
        <v>16</v>
      </c>
      <c r="O495" s="12" t="s">
        <v>16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536</v>
      </c>
      <c r="B496" s="14" t="s">
        <v>22</v>
      </c>
      <c r="C496" s="9" t="s">
        <v>22</v>
      </c>
      <c r="D496" s="15" t="s">
        <v>32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24</v>
      </c>
      <c r="M496" s="15">
        <v>460.15</v>
      </c>
      <c r="N496" s="15" t="s">
        <v>77</v>
      </c>
      <c r="O496" s="17" t="s">
        <v>20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537</v>
      </c>
      <c r="B497" s="9" t="s">
        <v>27</v>
      </c>
      <c r="C497" s="9" t="s">
        <v>27</v>
      </c>
      <c r="D497" s="10" t="s">
        <v>17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26" t="s">
        <v>77</v>
      </c>
      <c r="O497" s="12" t="s">
        <v>20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538</v>
      </c>
      <c r="B498" s="14" t="s">
        <v>12</v>
      </c>
      <c r="C498" s="9" t="s">
        <v>12</v>
      </c>
      <c r="D498" s="15" t="s">
        <v>13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15</v>
      </c>
      <c r="M498" s="15">
        <v>80.92</v>
      </c>
      <c r="N498" s="15" t="s">
        <v>16</v>
      </c>
      <c r="O498" s="17" t="s">
        <v>93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539</v>
      </c>
      <c r="B499" s="9" t="s">
        <v>573</v>
      </c>
      <c r="C499" s="9" t="s">
        <v>573</v>
      </c>
      <c r="D499" s="10" t="s">
        <v>32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26" t="s">
        <v>16</v>
      </c>
      <c r="O499" s="12" t="s">
        <v>93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49" t="s">
        <v>677</v>
      </c>
      <c r="B503" s="1">
        <f>SUM(Dmart_Sales_Data[sales])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2.5" customHeight="1">
      <c r="A504" s="49" t="s">
        <v>678</v>
      </c>
      <c r="B504" s="1">
        <f>SUBTOTAL(9,Dmart_Sales_Data[sales])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26" priority="2" bottom="1" rank="10"/>
    <cfRule type="top10" dxfId="25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R45" xr:uid="{D6C71D6B-94C7-4FF1-8ECB-17DDDB9182FF}">
      <formula1>$A$2:$A$499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541</v>
      </c>
      <c r="B1" t="s">
        <v>542</v>
      </c>
      <c r="C1" t="s">
        <v>543</v>
      </c>
      <c r="D1" t="s">
        <v>556</v>
      </c>
      <c r="E1" t="s">
        <v>561</v>
      </c>
      <c r="F1" t="s">
        <v>566</v>
      </c>
      <c r="G1" t="s">
        <v>571</v>
      </c>
    </row>
    <row r="2" spans="1:7">
      <c r="A2" t="s">
        <v>544</v>
      </c>
      <c r="B2" t="s">
        <v>547</v>
      </c>
      <c r="C2" t="s">
        <v>552</v>
      </c>
      <c r="D2" s="27" t="s">
        <v>557</v>
      </c>
      <c r="E2" t="s">
        <v>562</v>
      </c>
      <c r="F2" t="s">
        <v>567</v>
      </c>
      <c r="G2">
        <v>8828828308</v>
      </c>
    </row>
    <row r="3" spans="1:7">
      <c r="A3" t="s">
        <v>545</v>
      </c>
      <c r="B3" t="s">
        <v>548</v>
      </c>
      <c r="C3" t="s">
        <v>553</v>
      </c>
      <c r="D3" s="27" t="s">
        <v>559</v>
      </c>
      <c r="E3" t="s">
        <v>563</v>
      </c>
      <c r="F3" t="s">
        <v>570</v>
      </c>
      <c r="G3">
        <v>1923146718</v>
      </c>
    </row>
    <row r="4" spans="1:7">
      <c r="A4" t="s">
        <v>546</v>
      </c>
      <c r="B4" t="s">
        <v>549</v>
      </c>
      <c r="C4" t="s">
        <v>554</v>
      </c>
      <c r="D4" s="27" t="s">
        <v>560</v>
      </c>
      <c r="E4" t="s">
        <v>564</v>
      </c>
      <c r="F4" t="s">
        <v>568</v>
      </c>
      <c r="G4">
        <v>8929368987</v>
      </c>
    </row>
    <row r="5" spans="1:7">
      <c r="A5" t="s">
        <v>550</v>
      </c>
      <c r="B5" t="s">
        <v>551</v>
      </c>
      <c r="C5" t="s">
        <v>555</v>
      </c>
      <c r="D5" s="27" t="s">
        <v>558</v>
      </c>
      <c r="E5" t="s">
        <v>565</v>
      </c>
      <c r="F5" t="s">
        <v>569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activeCell="D9" sqref="D9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574</v>
      </c>
      <c r="C1" t="s">
        <v>579</v>
      </c>
    </row>
    <row r="2" spans="1:9">
      <c r="A2" t="s">
        <v>576</v>
      </c>
      <c r="C2" t="s">
        <v>580</v>
      </c>
    </row>
    <row r="3" spans="1:9">
      <c r="A3" t="s">
        <v>575</v>
      </c>
      <c r="C3" t="s">
        <v>581</v>
      </c>
    </row>
    <row r="4" spans="1:9">
      <c r="A4" t="s">
        <v>577</v>
      </c>
      <c r="C4" t="s">
        <v>582</v>
      </c>
    </row>
    <row r="5" spans="1:9">
      <c r="A5" t="s">
        <v>578</v>
      </c>
      <c r="C5" t="s">
        <v>583</v>
      </c>
      <c r="G5" s="38" t="s">
        <v>632</v>
      </c>
      <c r="H5" s="38" t="s">
        <v>633</v>
      </c>
      <c r="I5" s="38" t="s">
        <v>634</v>
      </c>
    </row>
    <row r="6" spans="1:9">
      <c r="A6" t="s">
        <v>576</v>
      </c>
      <c r="C6" t="s">
        <v>584</v>
      </c>
      <c r="G6" s="29">
        <v>47</v>
      </c>
      <c r="H6" s="29">
        <v>4</v>
      </c>
      <c r="I6" s="29">
        <f>G6/H6</f>
        <v>11.75</v>
      </c>
    </row>
    <row r="7" spans="1:9">
      <c r="A7" t="s">
        <v>575</v>
      </c>
      <c r="C7" t="s">
        <v>585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577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578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576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575</v>
      </c>
    </row>
    <row r="12" spans="1:9">
      <c r="A12" t="s">
        <v>577</v>
      </c>
    </row>
    <row r="13" spans="1:9">
      <c r="A13" t="s">
        <v>578</v>
      </c>
    </row>
    <row r="14" spans="1:9">
      <c r="A14" t="s">
        <v>576</v>
      </c>
    </row>
    <row r="15" spans="1:9">
      <c r="A15" t="s">
        <v>575</v>
      </c>
    </row>
    <row r="16" spans="1:9">
      <c r="A16" t="s">
        <v>577</v>
      </c>
    </row>
    <row r="17" spans="1:1">
      <c r="A17" t="s">
        <v>578</v>
      </c>
    </row>
    <row r="18" spans="1:1">
      <c r="A18" t="s">
        <v>576</v>
      </c>
    </row>
    <row r="19" spans="1:1">
      <c r="A19" t="s">
        <v>575</v>
      </c>
    </row>
    <row r="20" spans="1:1">
      <c r="A20" t="s">
        <v>577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D1" zoomScale="140" zoomScaleNormal="140" workbookViewId="0">
      <selection activeCell="M5" sqref="M5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586</v>
      </c>
    </row>
    <row r="3" spans="2:13">
      <c r="B3" t="s">
        <v>580</v>
      </c>
      <c r="E3" s="31" t="s">
        <v>588</v>
      </c>
      <c r="F3" s="31" t="s">
        <v>576</v>
      </c>
      <c r="G3" s="31" t="s">
        <v>601</v>
      </c>
      <c r="I3" s="32" t="s">
        <v>602</v>
      </c>
      <c r="J3" s="32" t="s">
        <v>603</v>
      </c>
      <c r="K3" s="32" t="s">
        <v>604</v>
      </c>
      <c r="L3" s="32" t="s">
        <v>605</v>
      </c>
      <c r="M3" s="32" t="s">
        <v>606</v>
      </c>
    </row>
    <row r="4" spans="2:13">
      <c r="B4" t="s">
        <v>581</v>
      </c>
      <c r="E4" s="30" t="s">
        <v>589</v>
      </c>
      <c r="F4" s="29">
        <v>75757</v>
      </c>
      <c r="G4" t="str">
        <f>IF(F4&gt;50000,"YES","NO")</f>
        <v>YES</v>
      </c>
      <c r="I4" t="s">
        <v>607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582</v>
      </c>
      <c r="E5" s="30" t="s">
        <v>589</v>
      </c>
      <c r="F5" s="29">
        <v>97656</v>
      </c>
      <c r="G5" t="str">
        <f t="shared" ref="G5:G10" si="0">IF(F5&gt;50000,"YES","NO")</f>
        <v>YES</v>
      </c>
      <c r="I5" t="s">
        <v>608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583</v>
      </c>
      <c r="E6" s="30" t="s">
        <v>590</v>
      </c>
      <c r="F6" s="29">
        <v>47474</v>
      </c>
      <c r="G6" t="str">
        <f t="shared" si="0"/>
        <v>NO</v>
      </c>
      <c r="I6" t="s">
        <v>609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584</v>
      </c>
      <c r="E7" s="30" t="s">
        <v>591</v>
      </c>
      <c r="F7" s="29">
        <v>85845</v>
      </c>
      <c r="G7" t="str">
        <f t="shared" si="0"/>
        <v>YES</v>
      </c>
      <c r="I7" t="s">
        <v>610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585</v>
      </c>
      <c r="E8" s="30" t="s">
        <v>593</v>
      </c>
      <c r="F8" s="29">
        <v>74644</v>
      </c>
      <c r="G8" t="str">
        <f t="shared" si="0"/>
        <v>YES</v>
      </c>
    </row>
    <row r="9" spans="2:13">
      <c r="E9" s="30" t="s">
        <v>594</v>
      </c>
      <c r="F9" s="29">
        <v>98756</v>
      </c>
      <c r="G9" t="str">
        <f t="shared" si="0"/>
        <v>YES</v>
      </c>
    </row>
    <row r="10" spans="2:13">
      <c r="E10" s="30" t="s">
        <v>592</v>
      </c>
      <c r="F10" s="29">
        <v>20000</v>
      </c>
      <c r="G10" t="str">
        <f t="shared" si="0"/>
        <v>NO</v>
      </c>
    </row>
    <row r="15" spans="2:13">
      <c r="D15" s="34" t="s">
        <v>602</v>
      </c>
      <c r="E15" s="34" t="s">
        <v>603</v>
      </c>
      <c r="F15" s="35" t="s">
        <v>606</v>
      </c>
      <c r="H15" t="s">
        <v>616</v>
      </c>
      <c r="I15" t="s">
        <v>621</v>
      </c>
    </row>
    <row r="16" spans="2:13">
      <c r="D16" s="29" t="s">
        <v>607</v>
      </c>
      <c r="E16" s="29">
        <v>98</v>
      </c>
      <c r="F16" s="29" t="str">
        <f>IF(E16&gt;=90,"A++",IF(E16&gt;=75,"A+",IF(E16&gt;=60,"A",IF(E16&gt;=40,"B","Fail"))))</f>
        <v>A++</v>
      </c>
      <c r="H16" t="s">
        <v>618</v>
      </c>
      <c r="I16" t="s">
        <v>617</v>
      </c>
    </row>
    <row r="17" spans="3:9">
      <c r="D17" s="29" t="s">
        <v>608</v>
      </c>
      <c r="E17" s="29">
        <v>32</v>
      </c>
      <c r="F17" s="29" t="str">
        <f>IF(E17&gt;=90,"A++",IF(E17&gt;=75,"A+",IF(E17&gt;=60,"A",IF(E17&gt;=40,"B","FAIL"))))</f>
        <v>FAIL</v>
      </c>
      <c r="H17" t="s">
        <v>620</v>
      </c>
      <c r="I17" t="s">
        <v>619</v>
      </c>
    </row>
    <row r="18" spans="3:9">
      <c r="D18" s="29" t="s">
        <v>609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622</v>
      </c>
      <c r="I18" t="s">
        <v>623</v>
      </c>
    </row>
    <row r="19" spans="3:9">
      <c r="D19" s="29" t="s">
        <v>610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624</v>
      </c>
      <c r="I19" t="s">
        <v>625</v>
      </c>
    </row>
    <row r="20" spans="3:9">
      <c r="D20" s="36" t="s">
        <v>626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602</v>
      </c>
      <c r="E23" s="34" t="s">
        <v>576</v>
      </c>
      <c r="F23" s="34" t="s">
        <v>627</v>
      </c>
      <c r="G23" s="34" t="s">
        <v>628</v>
      </c>
      <c r="H23" t="s">
        <v>631</v>
      </c>
      <c r="I23" t="s">
        <v>627</v>
      </c>
    </row>
    <row r="24" spans="3:9">
      <c r="D24" s="29" t="s">
        <v>607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608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609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610</v>
      </c>
      <c r="E27" s="29">
        <v>75000</v>
      </c>
      <c r="F27">
        <f t="shared" si="2"/>
        <v>0.15</v>
      </c>
      <c r="G27">
        <f t="shared" si="3"/>
        <v>11250</v>
      </c>
      <c r="H27" t="s">
        <v>629</v>
      </c>
      <c r="I27" t="s">
        <v>630</v>
      </c>
    </row>
    <row r="28" spans="3:9">
      <c r="D28" s="36" t="s">
        <v>626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636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589</v>
      </c>
    </row>
    <row r="2" spans="1:7">
      <c r="A2" t="s">
        <v>590</v>
      </c>
    </row>
    <row r="3" spans="1:7">
      <c r="A3" t="s">
        <v>587</v>
      </c>
      <c r="D3" s="32" t="s">
        <v>602</v>
      </c>
      <c r="E3" s="33" t="s">
        <v>611</v>
      </c>
      <c r="F3" s="33" t="s">
        <v>612</v>
      </c>
      <c r="G3" s="33" t="s">
        <v>613</v>
      </c>
    </row>
    <row r="4" spans="1:7">
      <c r="A4" t="s">
        <v>591</v>
      </c>
      <c r="D4" t="s">
        <v>607</v>
      </c>
      <c r="E4" t="s">
        <v>614</v>
      </c>
      <c r="F4">
        <v>80</v>
      </c>
      <c r="G4" t="str">
        <f>IF(AND(E4="Nagpur",F4&gt;=75),"Shortlisted","Not Shortlisted")</f>
        <v>Shortlisted</v>
      </c>
    </row>
    <row r="5" spans="1:7">
      <c r="A5" t="s">
        <v>593</v>
      </c>
      <c r="D5" t="s">
        <v>608</v>
      </c>
      <c r="E5" t="s">
        <v>25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595</v>
      </c>
      <c r="D6" t="s">
        <v>609</v>
      </c>
      <c r="E6" t="s">
        <v>614</v>
      </c>
      <c r="F6">
        <v>60</v>
      </c>
      <c r="G6" t="str">
        <f t="shared" si="0"/>
        <v>Not_Shortlisted</v>
      </c>
    </row>
    <row r="7" spans="1:7">
      <c r="A7" t="s">
        <v>594</v>
      </c>
      <c r="D7" t="s">
        <v>610</v>
      </c>
      <c r="E7" t="s">
        <v>615</v>
      </c>
      <c r="F7">
        <v>77</v>
      </c>
      <c r="G7" t="str">
        <f t="shared" si="0"/>
        <v>Not_Shortlisted</v>
      </c>
    </row>
    <row r="8" spans="1:7">
      <c r="A8" t="s">
        <v>596</v>
      </c>
    </row>
    <row r="9" spans="1:7">
      <c r="A9" t="s">
        <v>597</v>
      </c>
    </row>
    <row r="10" spans="1:7">
      <c r="A10" t="s">
        <v>598</v>
      </c>
    </row>
    <row r="11" spans="1:7">
      <c r="A11" t="s">
        <v>599</v>
      </c>
    </row>
    <row r="12" spans="1:7">
      <c r="A12" t="s">
        <v>600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24"/>
  <sheetViews>
    <sheetView topLeftCell="A15" zoomScale="140" zoomScaleNormal="140" workbookViewId="0">
      <selection activeCell="E23" sqref="E23"/>
    </sheetView>
  </sheetViews>
  <sheetFormatPr defaultRowHeight="14"/>
  <cols>
    <col min="1" max="1" width="10.5" customWidth="1"/>
    <col min="3" max="3" width="11.25" bestFit="1" customWidth="1"/>
    <col min="5" max="5" width="17.25" bestFit="1" customWidth="1"/>
  </cols>
  <sheetData>
    <row r="1" spans="1:6">
      <c r="A1" s="40" t="s">
        <v>1</v>
      </c>
      <c r="B1" s="40" t="s">
        <v>640</v>
      </c>
      <c r="C1" s="40" t="s">
        <v>576</v>
      </c>
    </row>
    <row r="2" spans="1:6">
      <c r="A2" s="29" t="s">
        <v>641</v>
      </c>
      <c r="B2" s="29" t="s">
        <v>642</v>
      </c>
      <c r="C2" s="39">
        <v>2300</v>
      </c>
      <c r="E2" t="s">
        <v>649</v>
      </c>
      <c r="F2">
        <f>SUMIF(A2:A7,"=Fruits",C2:C7)</f>
        <v>2000</v>
      </c>
    </row>
    <row r="3" spans="1:6">
      <c r="A3" s="29" t="s">
        <v>641</v>
      </c>
      <c r="B3" s="29" t="s">
        <v>643</v>
      </c>
      <c r="C3" s="39">
        <v>5500</v>
      </c>
    </row>
    <row r="4" spans="1:6">
      <c r="A4" s="29" t="s">
        <v>644</v>
      </c>
      <c r="B4" s="29" t="s">
        <v>645</v>
      </c>
      <c r="C4" s="39">
        <v>800</v>
      </c>
      <c r="E4" t="s">
        <v>650</v>
      </c>
      <c r="F4">
        <f>SUMIF(A2:A7,"",C2:C7)</f>
        <v>400</v>
      </c>
    </row>
    <row r="5" spans="1:6">
      <c r="A5" s="29"/>
      <c r="B5" s="29" t="s">
        <v>646</v>
      </c>
      <c r="C5" s="39">
        <v>400</v>
      </c>
    </row>
    <row r="6" spans="1:6">
      <c r="A6" s="29" t="s">
        <v>641</v>
      </c>
      <c r="B6" s="29" t="s">
        <v>647</v>
      </c>
      <c r="C6" s="39">
        <v>4200</v>
      </c>
    </row>
    <row r="7" spans="1:6">
      <c r="A7" s="29" t="s">
        <v>644</v>
      </c>
      <c r="B7" s="29" t="s">
        <v>648</v>
      </c>
      <c r="C7" s="39">
        <v>1200</v>
      </c>
    </row>
    <row r="10" spans="1:6">
      <c r="A10" s="29" t="s">
        <v>574</v>
      </c>
      <c r="B10" s="29" t="s">
        <v>579</v>
      </c>
      <c r="C10" s="29" t="s">
        <v>675</v>
      </c>
    </row>
    <row r="11" spans="1:6">
      <c r="A11" s="29" t="s">
        <v>576</v>
      </c>
      <c r="B11" s="29" t="s">
        <v>580</v>
      </c>
      <c r="C11" s="29">
        <v>1001</v>
      </c>
    </row>
    <row r="12" spans="1:6">
      <c r="A12" s="29" t="s">
        <v>575</v>
      </c>
      <c r="B12" s="29" t="s">
        <v>581</v>
      </c>
      <c r="C12" s="29">
        <v>1002</v>
      </c>
    </row>
    <row r="13" spans="1:6">
      <c r="A13" s="29" t="s">
        <v>577</v>
      </c>
      <c r="B13" s="29" t="s">
        <v>582</v>
      </c>
      <c r="C13" s="29">
        <v>1001</v>
      </c>
    </row>
    <row r="14" spans="1:6">
      <c r="A14" s="29" t="s">
        <v>575</v>
      </c>
      <c r="B14" s="29" t="s">
        <v>583</v>
      </c>
      <c r="C14" s="29">
        <v>1102</v>
      </c>
    </row>
    <row r="15" spans="1:6">
      <c r="A15" s="29"/>
      <c r="B15" s="29"/>
      <c r="C15" s="29"/>
    </row>
    <row r="16" spans="1:6">
      <c r="A16" s="29"/>
      <c r="B16" s="29"/>
      <c r="C16" s="29"/>
    </row>
    <row r="18" spans="1:3">
      <c r="A18" s="48" t="s">
        <v>676</v>
      </c>
    </row>
    <row r="19" spans="1:3">
      <c r="A19">
        <v>120</v>
      </c>
      <c r="C19">
        <f>SUBTOTAL(9,A19:A24)</f>
        <v>578</v>
      </c>
    </row>
    <row r="20" spans="1:3">
      <c r="A20">
        <v>10</v>
      </c>
      <c r="C20">
        <f>SUBTOTAL(1,A19:A24)</f>
        <v>96.333333333333329</v>
      </c>
    </row>
    <row r="21" spans="1:3">
      <c r="A21">
        <v>150</v>
      </c>
    </row>
    <row r="22" spans="1:3">
      <c r="A22">
        <v>23</v>
      </c>
    </row>
    <row r="23" spans="1:3">
      <c r="A23">
        <v>45</v>
      </c>
    </row>
    <row r="24" spans="1:3">
      <c r="A24">
        <v>230</v>
      </c>
    </row>
  </sheetData>
  <autoFilter ref="A18:A24" xr:uid="{4D841484-71F5-47BE-A450-CBFC991A1C36}"/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4BA0-200E-4CD2-A5C3-8AB709EAE206}">
  <dimension ref="A1:F14"/>
  <sheetViews>
    <sheetView zoomScale="140" zoomScaleNormal="140" workbookViewId="0">
      <selection activeCell="C19" sqref="C19"/>
    </sheetView>
  </sheetViews>
  <sheetFormatPr defaultRowHeight="14"/>
  <cols>
    <col min="1" max="1" width="11.9140625" bestFit="1" customWidth="1"/>
    <col min="2" max="2" width="11.25" bestFit="1" customWidth="1"/>
    <col min="4" max="4" width="13.33203125" bestFit="1" customWidth="1"/>
    <col min="5" max="5" width="13.08203125" bestFit="1" customWidth="1"/>
  </cols>
  <sheetData>
    <row r="1" spans="1:6">
      <c r="A1" s="34" t="s">
        <v>679</v>
      </c>
      <c r="B1" s="34" t="s">
        <v>602</v>
      </c>
      <c r="C1" s="34" t="s">
        <v>576</v>
      </c>
      <c r="D1" s="34" t="s">
        <v>627</v>
      </c>
      <c r="E1" s="34" t="s">
        <v>628</v>
      </c>
    </row>
    <row r="2" spans="1:6">
      <c r="A2" s="29">
        <v>1001</v>
      </c>
      <c r="B2" s="29" t="s">
        <v>607</v>
      </c>
      <c r="C2" s="29">
        <v>70000</v>
      </c>
      <c r="D2" s="50">
        <f>IF(C2&gt;=75000,15%,IF(C2&gt;=70000,10%,IF(C2&gt;=50000,5%,IF(C2&lt;=50000,0))))</f>
        <v>0.1</v>
      </c>
      <c r="E2" s="29">
        <f>C2*D2</f>
        <v>7000</v>
      </c>
    </row>
    <row r="3" spans="1:6">
      <c r="A3" s="29">
        <v>1002</v>
      </c>
      <c r="B3" s="29" t="s">
        <v>608</v>
      </c>
      <c r="C3" s="29">
        <v>50000</v>
      </c>
      <c r="D3" s="50">
        <f t="shared" ref="D3:D6" si="0">IF(C3&gt;=75000,15%,IF(C3&gt;=70000,10%,IF(C3&gt;=50000,5%,IF(C3&lt;=50000,0))))</f>
        <v>0.05</v>
      </c>
      <c r="E3" s="29">
        <f t="shared" ref="E3:E6" si="1">C3*D3</f>
        <v>2500</v>
      </c>
    </row>
    <row r="4" spans="1:6">
      <c r="A4" s="29">
        <v>1003</v>
      </c>
      <c r="B4" s="29" t="s">
        <v>609</v>
      </c>
      <c r="C4" s="29">
        <v>45000</v>
      </c>
      <c r="D4" s="50">
        <f t="shared" si="0"/>
        <v>0</v>
      </c>
      <c r="E4" s="29">
        <f t="shared" si="1"/>
        <v>0</v>
      </c>
    </row>
    <row r="5" spans="1:6">
      <c r="A5" s="29">
        <v>1004</v>
      </c>
      <c r="B5" s="29" t="s">
        <v>610</v>
      </c>
      <c r="C5" s="29">
        <v>75000</v>
      </c>
      <c r="D5" s="50">
        <f t="shared" si="0"/>
        <v>0.15</v>
      </c>
      <c r="E5" s="29">
        <f t="shared" si="1"/>
        <v>11250</v>
      </c>
    </row>
    <row r="6" spans="1:6">
      <c r="A6" s="29">
        <v>1005</v>
      </c>
      <c r="B6" s="36" t="s">
        <v>626</v>
      </c>
      <c r="C6" s="36">
        <v>55000</v>
      </c>
      <c r="D6" s="50">
        <f t="shared" si="0"/>
        <v>0.05</v>
      </c>
      <c r="E6" s="29">
        <f t="shared" si="1"/>
        <v>2750</v>
      </c>
    </row>
    <row r="8" spans="1:6">
      <c r="A8" s="51" t="s">
        <v>681</v>
      </c>
    </row>
    <row r="9" spans="1:6">
      <c r="B9" s="38" t="s">
        <v>680</v>
      </c>
      <c r="C9" s="38" t="s">
        <v>576</v>
      </c>
      <c r="D9" s="38" t="s">
        <v>628</v>
      </c>
      <c r="F9">
        <f>MATCH(B5,B1:B6,0)</f>
        <v>5</v>
      </c>
    </row>
    <row r="10" spans="1:6">
      <c r="B10" s="29">
        <v>1001</v>
      </c>
      <c r="C10" s="29">
        <f>VLOOKUP(B10,A1:E6,MATCH("Sales",A1:E1,0),FALSE)</f>
        <v>70000</v>
      </c>
      <c r="D10" s="29">
        <f>VLOOKUP(B10,A1:E6,5,FALSE)</f>
        <v>7000</v>
      </c>
    </row>
    <row r="11" spans="1:6">
      <c r="F11">
        <f>MATCH("Sales",A1:E1,0)</f>
        <v>3</v>
      </c>
    </row>
    <row r="12" spans="1:6">
      <c r="A12" s="51" t="s">
        <v>682</v>
      </c>
    </row>
    <row r="13" spans="1:6">
      <c r="B13" s="38" t="s">
        <v>680</v>
      </c>
      <c r="C13" s="38" t="s">
        <v>576</v>
      </c>
      <c r="D13" s="38" t="s">
        <v>628</v>
      </c>
      <c r="F13">
        <f>MATCH(B14,A2:A6,0)</f>
        <v>2</v>
      </c>
    </row>
    <row r="14" spans="1:6">
      <c r="B14">
        <v>1002</v>
      </c>
      <c r="C14">
        <f>INDEX(A2:E6,MATCH(B14,A2:A6,0),3)</f>
        <v>50000</v>
      </c>
      <c r="D14">
        <f>INDEX(A2:E6,MATCH(B14,A2:A6,0),5)</f>
        <v>2500</v>
      </c>
    </row>
  </sheetData>
  <dataValidations count="1">
    <dataValidation type="list" allowBlank="1" showInputMessage="1" showErrorMessage="1" sqref="B10" xr:uid="{088DACFA-72EC-47C8-A11D-167B072525C0}">
      <formula1>$A$2:$A$6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E70E2-BDE9-4841-82DE-4AE89AB98E4C}">
  <dimension ref="A2:J15"/>
  <sheetViews>
    <sheetView zoomScale="120" zoomScaleNormal="120" workbookViewId="0">
      <selection activeCell="G3" sqref="G3"/>
    </sheetView>
  </sheetViews>
  <sheetFormatPr defaultRowHeight="14"/>
  <cols>
    <col min="7" max="7" width="23.6640625" bestFit="1" customWidth="1"/>
  </cols>
  <sheetData>
    <row r="2" spans="1:10">
      <c r="A2" s="29"/>
      <c r="B2" s="56" t="s">
        <v>683</v>
      </c>
      <c r="C2" s="56" t="s">
        <v>684</v>
      </c>
      <c r="D2" s="56" t="s">
        <v>685</v>
      </c>
      <c r="E2" s="56" t="s">
        <v>686</v>
      </c>
      <c r="F2" s="56" t="s">
        <v>593</v>
      </c>
    </row>
    <row r="3" spans="1:10">
      <c r="A3" s="55" t="s">
        <v>687</v>
      </c>
      <c r="B3" s="29">
        <v>100</v>
      </c>
      <c r="C3" s="29">
        <v>585</v>
      </c>
      <c r="D3" s="29">
        <v>333</v>
      </c>
      <c r="E3" s="29">
        <v>745</v>
      </c>
      <c r="F3" s="29">
        <v>222</v>
      </c>
    </row>
    <row r="4" spans="1:10">
      <c r="A4" s="55" t="s">
        <v>688</v>
      </c>
      <c r="B4" s="29">
        <v>100</v>
      </c>
      <c r="C4" s="29">
        <v>500</v>
      </c>
      <c r="D4" s="29">
        <v>600</v>
      </c>
      <c r="E4" s="29">
        <v>700</v>
      </c>
      <c r="F4" s="29">
        <v>900</v>
      </c>
    </row>
    <row r="5" spans="1:10">
      <c r="A5" s="55" t="s">
        <v>576</v>
      </c>
      <c r="B5" s="29">
        <v>2000</v>
      </c>
      <c r="C5" s="29">
        <v>7000</v>
      </c>
      <c r="D5" s="29">
        <v>8000</v>
      </c>
      <c r="E5" s="29">
        <v>6000</v>
      </c>
      <c r="F5" s="29">
        <v>4000</v>
      </c>
    </row>
    <row r="6" spans="1:10">
      <c r="A6" s="55" t="s">
        <v>689</v>
      </c>
      <c r="B6" s="29">
        <v>400</v>
      </c>
      <c r="C6" s="29">
        <v>500</v>
      </c>
      <c r="D6" s="29">
        <v>300</v>
      </c>
      <c r="E6" s="29">
        <v>300</v>
      </c>
      <c r="F6" s="29">
        <v>200</v>
      </c>
      <c r="J6" t="e" cm="1">
        <f t="array" ref="J6">loo</f>
        <v>#NAME?</v>
      </c>
    </row>
    <row r="8" spans="1:10">
      <c r="G8" s="54" t="s">
        <v>691</v>
      </c>
      <c r="H8" s="29"/>
    </row>
    <row r="9" spans="1:10">
      <c r="B9" s="52" t="s">
        <v>690</v>
      </c>
      <c r="C9" s="53" t="s">
        <v>685</v>
      </c>
      <c r="G9" s="53" t="s">
        <v>690</v>
      </c>
      <c r="H9" s="53" t="s">
        <v>593</v>
      </c>
    </row>
    <row r="10" spans="1:10">
      <c r="B10" s="40" t="s">
        <v>576</v>
      </c>
      <c r="C10" s="29">
        <f>HLOOKUP(C$9,B$2:F$6,MATCH(B10,$A$2:$A$6,0),FALSE)</f>
        <v>8000</v>
      </c>
      <c r="G10" s="55" t="s">
        <v>576</v>
      </c>
      <c r="H10" s="29">
        <f>VLOOKUP(G10,$A$3:$F$6,MATCH($H$9,$A$2:$F$2,0),FALSE)</f>
        <v>4000</v>
      </c>
    </row>
    <row r="11" spans="1:10">
      <c r="B11" s="40" t="s">
        <v>688</v>
      </c>
      <c r="C11" s="29">
        <f>HLOOKUP(C$9,B$2:F$6,MATCH(B11,$A$2:$A$6,0),FALSE)</f>
        <v>600</v>
      </c>
      <c r="G11" s="55" t="s">
        <v>689</v>
      </c>
      <c r="H11" s="29">
        <f>VLOOKUP(G11,$A$3:$F$6,MATCH($H$9,$A$2:$F$2,0),FALSE)</f>
        <v>200</v>
      </c>
    </row>
    <row r="12" spans="1:10">
      <c r="B12" s="40" t="s">
        <v>689</v>
      </c>
      <c r="C12" s="29">
        <f>HLOOKUP(C$9,B$2:F$6,MATCH(B12,$A$2:$A$6,0),FALSE)</f>
        <v>300</v>
      </c>
      <c r="G12" s="55" t="s">
        <v>687</v>
      </c>
      <c r="H12" s="29">
        <f>VLOOKUP(G12,$A$3:$F$6,MATCH($H$9,$A$2:$F$2,0),FALSE)</f>
        <v>222</v>
      </c>
    </row>
    <row r="13" spans="1:10">
      <c r="G13" s="55" t="s">
        <v>688</v>
      </c>
      <c r="H13" s="29">
        <f>VLOOKUP(G13,$A$3:$F$6,MATCH($H$9,$A$2:$F$2,0),FALSE)</f>
        <v>900</v>
      </c>
    </row>
    <row r="15" spans="1:10">
      <c r="B15">
        <f>MATCH(C9,B2:F2,0)</f>
        <v>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8B87-41D5-4070-A0B7-6AC96C6E7F22}">
  <dimension ref="A1:F9"/>
  <sheetViews>
    <sheetView tabSelected="1" zoomScale="140" zoomScaleNormal="140" workbookViewId="0">
      <selection activeCell="G6" sqref="G6"/>
    </sheetView>
  </sheetViews>
  <sheetFormatPr defaultRowHeight="14"/>
  <cols>
    <col min="3" max="3" width="10" style="65" bestFit="1" customWidth="1"/>
  </cols>
  <sheetData>
    <row r="1" spans="1:6">
      <c r="A1" s="57" t="s">
        <v>692</v>
      </c>
      <c r="B1" s="38" t="s">
        <v>693</v>
      </c>
      <c r="C1" s="63" t="s">
        <v>694</v>
      </c>
      <c r="D1" s="57" t="s">
        <v>612</v>
      </c>
      <c r="E1" s="60" t="s">
        <v>695</v>
      </c>
    </row>
    <row r="2" spans="1:6">
      <c r="A2" s="29">
        <v>18</v>
      </c>
      <c r="B2" s="29">
        <v>2</v>
      </c>
      <c r="C2" s="58"/>
      <c r="D2" s="29">
        <v>41</v>
      </c>
      <c r="E2">
        <v>1111</v>
      </c>
    </row>
    <row r="3" spans="1:6">
      <c r="A3" s="29">
        <v>50</v>
      </c>
      <c r="B3" s="29">
        <v>4</v>
      </c>
      <c r="C3" s="64"/>
      <c r="D3" s="29">
        <v>49</v>
      </c>
    </row>
    <row r="4" spans="1:6">
      <c r="A4" s="29">
        <v>88</v>
      </c>
      <c r="B4" s="29">
        <v>3</v>
      </c>
      <c r="C4" s="64"/>
      <c r="D4" s="29">
        <v>47</v>
      </c>
      <c r="F4" s="59"/>
    </row>
    <row r="5" spans="1:6">
      <c r="A5" s="29"/>
      <c r="B5" s="29"/>
      <c r="C5" s="64"/>
      <c r="D5" s="29">
        <v>75</v>
      </c>
    </row>
    <row r="9" spans="1:6">
      <c r="F9" s="59"/>
    </row>
  </sheetData>
  <dataValidations count="5">
    <dataValidation type="whole" allowBlank="1" showInputMessage="1" showErrorMessage="1" promptTitle="Age Restriction" prompt="Enter Age Between 18 TO 60" sqref="A1:A1048576" xr:uid="{5BED3A95-AE8D-4E6E-8C38-184F13BD8968}">
      <formula1>18</formula1>
      <formula2>60</formula2>
    </dataValidation>
    <dataValidation type="whole" allowBlank="1" showInputMessage="1" showErrorMessage="1" promptTitle="Quantity Restriction " prompt="Enter Quantity Between 2 to 10" sqref="B1:B5" xr:uid="{6D92586E-3EDD-4F5F-A755-8A53D25E7337}">
      <formula1>$F$3</formula1>
      <formula2>$F$4</formula2>
    </dataValidation>
    <dataValidation type="whole" allowBlank="1" showInputMessage="1" showErrorMessage="1" sqref="D1 D6:D1048576" xr:uid="{0277E15D-3E0A-4756-B9AF-09AA47B037A5}">
      <formula1>41</formula1>
      <formula2>75</formula2>
    </dataValidation>
    <dataValidation type="custom" allowBlank="1" showInputMessage="1" showErrorMessage="1" sqref="D2:D5" xr:uid="{E8148EEE-507C-4563-BAC4-8F0212F88C46}">
      <formula1>AND(D2&gt;40,D2&lt;=75)</formula1>
    </dataValidation>
    <dataValidation type="textLength" operator="equal" allowBlank="1" showInputMessage="1" showErrorMessage="1" errorTitle="OTP RESTRICTION" error="Enter Valid OTP" promptTitle="OTP" prompt="Enter OTP Rejected ( It Should Be Only 4 Digit )" sqref="E1:E1048576" xr:uid="{F2831CF5-AEC4-4A90-9C48-9B4E491C82FC}">
      <formula1>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  <vt:lpstr>LOOKUP_FUNCTION</vt:lpstr>
      <vt:lpstr>HLOOKUP</vt:lpstr>
      <vt:lpstr>DataValidation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2026-07-15T12:10:53Z</dcterms:modified>
</cp:coreProperties>
</file>